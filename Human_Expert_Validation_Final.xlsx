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man_Expert_Validation_29" sheetId="1" r:id="rId5"/>
    <sheet state="visible" name="Expert_Entry_Template_29" sheetId="2" r:id="rId6"/>
  </sheets>
  <definedNames/>
  <calcPr/>
</workbook>
</file>

<file path=xl/sharedStrings.xml><?xml version="1.0" encoding="utf-8"?>
<sst xmlns="http://schemas.openxmlformats.org/spreadsheetml/2006/main" count="415" uniqueCount="201">
  <si>
    <t>Report_ID</t>
  </si>
  <si>
    <t>LLM_Folder</t>
  </si>
  <si>
    <t>VLM_Folder</t>
  </si>
  <si>
    <t>UML_Description_File</t>
  </si>
  <si>
    <t>Generated_Testcase_File</t>
  </si>
  <si>
    <t>Automated_Element_Coverage</t>
  </si>
  <si>
    <t>Human_Expert1_Element</t>
  </si>
  <si>
    <t>Human_Expert2_Element</t>
  </si>
  <si>
    <t>Human_Mean_Element</t>
  </si>
  <si>
    <t>Automated_Flow_Coverage</t>
  </si>
  <si>
    <t>Human_Expert1_Flow</t>
  </si>
  <si>
    <t>Human_Expert2_Flow</t>
  </si>
  <si>
    <t>Human_Mean_Flow</t>
  </si>
  <si>
    <t>Automated_Conditional_Coverage</t>
  </si>
  <si>
    <t>Expert1_Element</t>
  </si>
  <si>
    <t>Human_Expert1_Conditional</t>
  </si>
  <si>
    <t>Human_Expert2_Conditional</t>
  </si>
  <si>
    <t>Expert2_Element</t>
  </si>
  <si>
    <t>Human_Mean_Conditional</t>
  </si>
  <si>
    <t>Automated_ELSC</t>
  </si>
  <si>
    <t>Human_Expert1_ELSC</t>
  </si>
  <si>
    <t>Human_Expert2_ELSC</t>
  </si>
  <si>
    <t>Human_Mean_ELSC</t>
  </si>
  <si>
    <t>Expert1_Flow</t>
  </si>
  <si>
    <t>Automated_COC</t>
  </si>
  <si>
    <t>Expert2_Flow</t>
  </si>
  <si>
    <t>Human_Expert1_COC</t>
  </si>
  <si>
    <t>Human_Expert2_COC</t>
  </si>
  <si>
    <t>Human_Mean_COC</t>
  </si>
  <si>
    <t>Automated_CBTC</t>
  </si>
  <si>
    <t>Human_Expert1_CBTC</t>
  </si>
  <si>
    <t>Expert1_Conditional</t>
  </si>
  <si>
    <t>Human_Expert2_CBTC</t>
  </si>
  <si>
    <t>Human_Mean_CBTC</t>
  </si>
  <si>
    <t>Expert2_Conditional</t>
  </si>
  <si>
    <t>Automated_ERPC</t>
  </si>
  <si>
    <t>Human_Expert1_ERPC</t>
  </si>
  <si>
    <t>Human_Expert2_ERPC</t>
  </si>
  <si>
    <t>Expert1_ELSC</t>
  </si>
  <si>
    <t>Human_Mean_ERPC</t>
  </si>
  <si>
    <t>Expert2_ELSC</t>
  </si>
  <si>
    <t>Num_Testcases</t>
  </si>
  <si>
    <t>Manual_Expected_Result_Presence_Count</t>
  </si>
  <si>
    <t>Manual_Expected_Result_Presence_Ratio</t>
  </si>
  <si>
    <t>Expert1_COC</t>
  </si>
  <si>
    <t>Human_Expert_Reason</t>
  </si>
  <si>
    <t>Expert2_COC</t>
  </si>
  <si>
    <t>Human_Expert_Difference</t>
  </si>
  <si>
    <t>Report_1_uml_pages</t>
  </si>
  <si>
    <t>Expert1_CBTC</t>
  </si>
  <si>
    <t>Expert2_CBTC</t>
  </si>
  <si>
    <t>Expert1_ERPC</t>
  </si>
  <si>
    <t>Expert2_ERPC</t>
  </si>
  <si>
    <t>Expert1_Reason</t>
  </si>
  <si>
    <t>Expert2_Reason</t>
  </si>
  <si>
    <t>Final_Consensus_Note</t>
  </si>
  <si>
    <t>mistral 7b</t>
  </si>
  <si>
    <t>gemma 4b</t>
  </si>
  <si>
    <t>SEMANTIC_COVERAGE_READY11/mistral 7b/gemma 4b/Report_1_uml_pages/Report_1_uml_pages.txt</t>
  </si>
  <si>
    <t>SEMANTIC_COVERAGE_READY11/mistral 7b/gemma 4b/Report_1_uml_pages/Report_1_uml_pages_testcases.csv</t>
  </si>
  <si>
    <t>Broad coverage of User/Ranking/Mission/Tip and Firebase authentication; some Realtime Database/listener interactions are not represented as distinct tests, and one generated case lacks a meaningful expected result.</t>
  </si>
  <si>
    <t>ERPC: 0.75 vs 1.0</t>
  </si>
  <si>
    <t>Report_2_uml_pages</t>
  </si>
  <si>
    <t>gemma 12b</t>
  </si>
  <si>
    <t>SEMANTIC_COVERAGE_READY11/mistral 7b/gemma 12b/Report_2_uml_pages/Report_2_uml_pages.txt</t>
  </si>
  <si>
    <t>SEMANTIC_COVERAGE_READY11/mistral 7b/gemma 12b/Report_2_uml_pages/Report_2_uml_pages_testcases.csv</t>
  </si>
  <si>
    <t>Access, login/registration, route, statistics, profile and logout flows are represented; several detailed yes/no transitions are compressed into broader scenario tests.</t>
  </si>
  <si>
    <t>No material difference between the two human expert assessments.</t>
  </si>
  <si>
    <t>Report_3_uml_pages</t>
  </si>
  <si>
    <t>llama</t>
  </si>
  <si>
    <t>SEMANTIC_COVERAGE_READY11/mistral 7b/llama/Report_3_uml_pages/Report_3_uml_pages.txt</t>
  </si>
  <si>
    <t>SEMANTIC_COVERAGE_READY11/mistral 7b/llama/Report_3_uml_pages/Report_3_uml_pages_testcases.csv</t>
  </si>
  <si>
    <t>Dashboard, sign-in, weather, trekking and health behavior are represented; some lower-level search/province/path-selection branches are consolidated rather than independently tested.</t>
  </si>
  <si>
    <t>Conditional: 0.5 vs 0.75; COC: 0.5 vs 0.75; CBTC: 0.5 vs 0.75</t>
  </si>
  <si>
    <t>Report_4_uml_pages</t>
  </si>
  <si>
    <t>llava</t>
  </si>
  <si>
    <t>SEMANTIC_COVERAGE_READY11/mistral 7b/llava/Report_4_uml_pages/Report_4_uml_pages.txt</t>
  </si>
  <si>
    <t>SEMANTIC_COVERAGE_READY11/mistral 7b/llava/Report_4_uml_pages/Report_4_uml_pages_testcases.csv</t>
  </si>
  <si>
    <t>Authentication, admin and cart behavior are covered; checkout and several auxiliary database/hardware/software elements are less explicit in the generated test set.</t>
  </si>
  <si>
    <t>Element: 0.5 vs 0.75; Flow: 0.5 vs 0.75; ELSC: 0.5 vs 0.75; COC: 0.5 vs 0.75</t>
  </si>
  <si>
    <t>Report_5_uml_pages</t>
  </si>
  <si>
    <t>qwen</t>
  </si>
  <si>
    <t>SEMANTIC_COVERAGE_READY11/mistral 7b/qwen/Report_5_uml_pages/Report_5_uml_pages.txt</t>
  </si>
  <si>
    <t>SEMANTIC_COVERAGE_READY11/mistral 7b/qwen/Report_5_uml_pages/Report_5_uml_pages_testcases.csv</t>
  </si>
  <si>
    <t>Trip, place, category, plan, daily-plan, weather and authentication functions are well represented; profile-change/database interaction detail is less explicit and one expected result is missing.</t>
  </si>
  <si>
    <t>Element: 1 vs 0.75; Flow: 0.75 vs 1; ERPC: 0.75 vs 1</t>
  </si>
  <si>
    <t>Report_6_uml_pages</t>
  </si>
  <si>
    <t>mistral 14b</t>
  </si>
  <si>
    <t>SEMANTIC_COVERAGE_READY11/mistral 14b/gemma 4b/Report_6_uml_pages/Report_6_uml_pages.txt</t>
  </si>
  <si>
    <t>SEMANTIC_COVERAGE_READY11/mistral 14b/gemma 4b/Report_6_uml_pages/Report_6_uml_pages_testcases.csv</t>
  </si>
  <si>
    <t>Authentication, entity/area management, reporting, notifications and an end-to-end flow are covered; low-level Firebase/Storage interactions are not all isolated as separate tests, with one expected-result omission.</t>
  </si>
  <si>
    <t>ERPC: 0.75 vs 1</t>
  </si>
  <si>
    <t>Report_7_uml_pages</t>
  </si>
  <si>
    <t>SEMANTIC_COVERAGE_READY11/mistral 14b/gemma 12b/Report_7_uml_pages/Report_7_uml_pages.txt</t>
  </si>
  <si>
    <t>SEMANTIC_COVERAGE_READY11/mistral 14b/gemma 12b/Report_7_uml_pages/Report_7_uml_pages_testcases.csv</t>
  </si>
  <si>
    <t>Core authentication, consumption, reporting, profile and gamification behavior is covered; notification/data-manager/delete-report details are comparatively underrepresented, and one expected result is absent.</t>
  </si>
  <si>
    <t>Element: 0.5 vs 0.75; ERPC: 0.75 vs 1</t>
  </si>
  <si>
    <t>Report_8_uml_pages</t>
  </si>
  <si>
    <t>SEMANTIC_COVERAGE_READY11/mistral 14b/llama/Report_8_uml_pages/Report_8_uml_pages.txt</t>
  </si>
  <si>
    <t>SEMANTIC_COVERAGE_READY11/mistral 14b/llama/Report_8_uml_pages/Report_8_uml_pages_testcases.csv</t>
  </si>
  <si>
    <t>Registration, vehicle addition, dataset search and settings branches are covered; statistics/navigation and a few secondary branches are represented more generally.</t>
  </si>
  <si>
    <t>Report_9_uml_pages</t>
  </si>
  <si>
    <t>SEMANTIC_COVERAGE_READY11/mistral 14b/llava/Report_9_uml_pages/Report_9_uml_pages.txt</t>
  </si>
  <si>
    <t>SEMANTIC_COVERAGE_READY11/mistral 14b/llava/Report_9_uml_pages/Report_9_uml_pages_testcases.csv</t>
  </si>
  <si>
    <t>Strong coverage across authentication, cart, checkout, server/database and logging behavior; some ancillary model details are simulated or generalized rather than directly traced.</t>
  </si>
  <si>
    <t>Element: 0.75 vs 1; Flow: 0.75 vs 1; ELSC: 0.75 vs 1; COC: 0.75 vs 1</t>
  </si>
  <si>
    <t>Report_10_uml_pages</t>
  </si>
  <si>
    <t>SEMANTIC_COVERAGE_READY11/mistral 14b/qwen/Report_10_uml_pages/Report_10_uml_pages.txt</t>
  </si>
  <si>
    <t>SEMANTIC_COVERAGE_READY11/mistral 14b/qwen/Report_10_uml_pages/Report_10_uml_pages_testcases.csv</t>
  </si>
  <si>
    <t>Registration/login and event create/edit/delete/navigation behavior are covered well; some form-level and repeated branch details are compressed, and one expected result is absent.</t>
  </si>
  <si>
    <t>Flow: 0.75 vs 1; ERPC: 0.75 vs 1</t>
  </si>
  <si>
    <t>Report_12_uml_pages</t>
  </si>
  <si>
    <t>qwen 7b</t>
  </si>
  <si>
    <t>SEMANTIC_COVERAGE_READY11/qwen 7b/gemma 4b/Report_12_uml_pages/Report_12_uml_pages.txt</t>
  </si>
  <si>
    <t>SEMANTIC_COVERAGE_READY11/qwen 7b/gemma 4b/Report_12_uml_pages/Report_12_uml_pages_testcases.csv</t>
  </si>
  <si>
    <t>All major marketplace features appear in the tests, but a very large number of UML objectives and branch-specific transitions are compressed into 17 broader test cases.</t>
  </si>
  <si>
    <t>Flow: 0.5 vs 0.75; Conditional: 0.5 vs 0.75; ELSC: 0.5 vs 0.75; COC: 0.5 vs 0.75; CBTC: 0.5 vs 0.75</t>
  </si>
  <si>
    <t>Report_13_uml_pages</t>
  </si>
  <si>
    <t>SEMANTIC_COVERAGE_READY11/qwen 7b/gemma 12b/Report_13_uml_pages/Report_13_uml_pages.txt</t>
  </si>
  <si>
    <t>SEMANTIC_COVERAGE_READY11/qwen 7b/gemma 12b/Report_13_uml_pages/Report_13_uml_pages_testcases.csv</t>
  </si>
  <si>
    <t>The generated suite covers registration, login, notifications, events, profile, newsletter and data-management functions extensively; no condition-bound objective is applicable in the extracted objective set.</t>
  </si>
  <si>
    <t>Report_14_uml_pages</t>
  </si>
  <si>
    <t>SEMANTIC_COVERAGE_READY11/qwen 7b/llama/Report_14_uml_pages/Report_14_uml_pages.txt</t>
  </si>
  <si>
    <t>SEMANTIC_COVERAGE_READY11/qwen 7b/llama/Report_14_uml_pages/Report_14_uml_pages_testcases.csv</t>
  </si>
  <si>
    <t>Only 10 broad tests represent a large set of class attributes, mapping operations and branch objectives; high-level behavior is captured but many low-level objectives are grouped or implicit.</t>
  </si>
  <si>
    <t>Element: 0.5 vs 0.75</t>
  </si>
  <si>
    <t>Report_15_uml_pages</t>
  </si>
  <si>
    <t>SEMANTIC_COVERAGE_READY11/qwen 7b/llava/Report_15_uml_pages/Report_15_uml_pages.txt</t>
  </si>
  <si>
    <t>SEMANTIC_COVERAGE_READY11/qwen 7b/llava/Report_15_uml_pages/Report_15_uml_pages_testcases.csv</t>
  </si>
  <si>
    <t>Core DataManager/access/storage/login relationships are covered, but the source description contains template/noisy artifacts; condition-bound coverage is not applicable in the extracted objectives.</t>
  </si>
  <si>
    <t>COC: 0.75 vs 1</t>
  </si>
  <si>
    <t>Report_16_uml_pages</t>
  </si>
  <si>
    <t>SEMANTIC_COVERAGE_READY11/qwen 7b/qwen/Report_16_uml_pages/Report_16_uml_pages.txt</t>
  </si>
  <si>
    <t>SEMANTIC_COVERAGE_READY11/qwen 7b/qwen/Report_16_uml_pages/Report_16_uml_pages_testcases.csv</t>
  </si>
  <si>
    <t>The three core concepts and both extracted UML objectives are directly represented by the test suite; one generated test case does not contain a meaningful expected result.</t>
  </si>
  <si>
    <t>Report_19_uml_pages</t>
  </si>
  <si>
    <t>qwen 14b</t>
  </si>
  <si>
    <t>SEMANTIC_COVERAGE_READY11/qwen 14b/gemma 4b/Report_19_uml_pages/Report_19_uml_pages.txt</t>
  </si>
  <si>
    <t>SEMANTIC_COVERAGE_READY11/qwen 14b/gemma 4b/Report_19_uml_pages/Report_19_uml_pages_testcases.csv</t>
  </si>
  <si>
    <t>Registration, login, newsletter, flash/event, profile, exit, notification center and project-data functions are all explicitly exercised; coverage is strong although some tests extend beyond the visible UML detail.</t>
  </si>
  <si>
    <t>Report_21_uml_pages</t>
  </si>
  <si>
    <t>SEMANTIC_COVERAGE_READY11/qwen 14b/gemma 12b/Report_21_uml_pages/Report_21_uml_pages.txt</t>
  </si>
  <si>
    <t>SEMANTIC_COVERAGE_READY11/qwen 14b/gemma 12b/Report_21_uml_pages/Report_21_uml_pages_testcases.csv</t>
  </si>
  <si>
    <t>Major authentication, signal, calendar, train, variation, notification and user-management subsystems are covered; the large number of low-level inter-system and condition-bound transitions is compressed into broader tests, with one expected-result omission.</t>
  </si>
  <si>
    <t>Flow: 0.5 vs 0.75; Conditional: 0.5 vs 0.75; ELSC: 0.5 vs 0.75; COC: 0.5 vs 0.75; CBTC: 0.5 vs 0.75; ERPC: 0.75 vs 1</t>
  </si>
  <si>
    <t>Report_22_uml_pages</t>
  </si>
  <si>
    <t>SEMANTIC_COVERAGE_READY11/qwen 14b/llama/Report_22_uml_pages/Report_22_uml_pages.txt</t>
  </si>
  <si>
    <t>SEMANTIC_COVERAGE_READY11/qwen 14b/llama/Report_22_uml_pages/Report_22_uml_pages_testcases.csv</t>
  </si>
  <si>
    <t>User, device, alert, history, greenhouse and configuration behavior is represented comprehensively; one test case lacks a meaningful expected result, while branch coverage is otherwise strong.</t>
  </si>
  <si>
    <t>Element: 0.75 vs 1; Flow: 0.75 vs 1; Conditional: 0.75 vs 1; ELSC: 0.75 vs 1; COC: 0.75 vs 1; CBTC: 0.75 vs 1; ERPC: 0.75 vs 1</t>
  </si>
  <si>
    <t>Report_23_uml_pages</t>
  </si>
  <si>
    <t>SEMANTIC_COVERAGE_READY11/qwen 14b/llava/Report_23_uml_pages/Report_23_uml_pages.txt</t>
  </si>
  <si>
    <t>SEMANTIC_COVERAGE_READY11/qwen 14b/llava/Report_23_uml_pages/Report_23_uml_pages_testcases.csv</t>
  </si>
  <si>
    <t>Core e-commerce, server/database, notification and product-management operations are represented; several generic edge-case tests are not directly tied to specific UML elements but do not reduce the main coverage.</t>
  </si>
  <si>
    <t>Report_24_uml_pages</t>
  </si>
  <si>
    <t>SEMANTIC_COVERAGE_READY11/qwen 14b/qwen/Report_24_uml_pages/Report_24_uml_pages.txt</t>
  </si>
  <si>
    <t>SEMANTIC_COVERAGE_READY11/qwen 14b/qwen/Report_24_uml_pages/Report_24_uml_pages_testcases.csv</t>
  </si>
  <si>
    <t>User creation, menu navigation, commission/offer creation, profile and guide behavior are covered; detailed repeated yes/no transition sequencing is generalized, and one expected result is absent.</t>
  </si>
  <si>
    <t>Report_25_uml_pages</t>
  </si>
  <si>
    <t>SEMANTIC_COVERAGE_READY11/mistral 7b/gemma 4b/Report_25_uml_pages/Report_25_uml_pages.txt</t>
  </si>
  <si>
    <t>SEMANTIC_COVERAGE_READY11/mistral 7b/gemma 4b/Report_25_uml_pages/Report_25_uml_pages_testcases.csv</t>
  </si>
  <si>
    <t>Authentication, password reset, card loading, matching and messaging are covered, but many repository/model/cache/job relationships in the UML description are not directly represented in the generated tests.</t>
  </si>
  <si>
    <t>Flow: 0.5 vs 0.75; Conditional: 0.5 vs 0.75; ELSC: 0.5 vs 0.75; CBTC: 0.5 vs 0.75</t>
  </si>
  <si>
    <t>Report_26_uml_pages</t>
  </si>
  <si>
    <t>SEMANTIC_COVERAGE_READY11/mistral 7b/gemma 12b/Report_26_uml_pages/Report_26_uml_pages.txt</t>
  </si>
  <si>
    <t>SEMANTIC_COVERAGE_READY11/mistral 7b/gemma 12b/Report_26_uml_pages/Report_26_uml_pages_testcases.csv</t>
  </si>
  <si>
    <t>Login, registration, exchange, filtering and profile-update scenarios are covered; many detailed fragment transitions and repeated decision paths from the large objective set are not individually represented.</t>
  </si>
  <si>
    <t>Element: 0.5 vs 0.75; Flow: 0.5 vs 0.75; ELSC: 0.5 vs 0.75</t>
  </si>
  <si>
    <t>Report_27_uml_pages</t>
  </si>
  <si>
    <t>SEMANTIC_COVERAGE_READY11/mistral 7b/llama/Report_27_uml_pages/Report_27_uml_pages.txt</t>
  </si>
  <si>
    <t>SEMANTIC_COVERAGE_READY11/mistral 7b/llama/Report_27_uml_pages/Report_27_uml_pages_testcases.csv</t>
  </si>
  <si>
    <t>The generated cases map closely to the main users, activities, monitoring functions and graph/data fragments; only minor grouping of navigation transitions is observed.</t>
  </si>
  <si>
    <t>Element: 0.75 vs 1; Flow: 0.75 vs 1; Conditional: 0.75 vs 1; ELSC: 0.75 vs 1; COC: 0.75 vs 1; CBTC: 0.75 vs 1</t>
  </si>
  <si>
    <t>Report_28_uml_pages</t>
  </si>
  <si>
    <t>SEMANTIC_COVERAGE_READY11/mistral 7b/llava/Report_28_uml_pages/Report_28_uml_pages.txt</t>
  </si>
  <si>
    <t>SEMANTIC_COVERAGE_READY11/mistral 7b/llava/Report_28_uml_pages/Report_28_uml_pages_testcases.csv</t>
  </si>
  <si>
    <t>Main login, API-manager, service and data-manager behavior is covered; unresolved template placeholders in the source description make some objective mappings ambiguous.</t>
  </si>
  <si>
    <t>Conditional: 0.5 vs 0.75; CBTC: 0.5 vs 0.75</t>
  </si>
  <si>
    <t>Report_29_uml_pages</t>
  </si>
  <si>
    <t>SEMANTIC_COVERAGE_READY11/mistral 7b/qwen/Report_29_uml_pages/Report_29_uml_pages.txt</t>
  </si>
  <si>
    <t>SEMANTIC_COVERAGE_READY11/mistral 7b/qwen/Report_29_uml_pages/Report_29_uml_pages_testcases.csv</t>
  </si>
  <si>
    <t>Registration, menu navigation, alert creation/viewing and profile-update branches are represented; duplicated yes/no navigation edges are generalized into broader tests.</t>
  </si>
  <si>
    <t>Element: 0.75 vs 1</t>
  </si>
  <si>
    <t>Report_30_uml_pages</t>
  </si>
  <si>
    <t>SEMANTIC_COVERAGE_READY11/mistral 14b/gemma 4b/Report_30_uml_pages/Report_30_uml_pages.txt</t>
  </si>
  <si>
    <t>SEMANTIC_COVERAGE_READY11/mistral 14b/gemma 4b/Report_30_uml_pages/Report_30_uml_pages_testcases.csv</t>
  </si>
  <si>
    <t>Settings, location details, Pathfinder, external navigation/call actions and suggestion branches are strongly represented; some repeated transition edges are tested at a higher behavioral level.</t>
  </si>
  <si>
    <t>Element: 0.75 vs 1; Flow: 0.75 vs 1; ELSC: 0.75 vs 1</t>
  </si>
  <si>
    <t>Report_31_uml_pages</t>
  </si>
  <si>
    <t>SEMANTIC_COVERAGE_READY11/mistral 14b/gemma 12b/Report_31_uml_pages/Report_31_uml_pages.txt</t>
  </si>
  <si>
    <t>SEMANTIC_COVERAGE_READY11/mistral 14b/gemma 12b/Report_31_uml_pages/Report_31_uml_pages_testcases.csv</t>
  </si>
  <si>
    <t>Authentication, chat, fridge, post, synchronization and database-failure behavior is covered; some data-organizer/display/schema transitions are generalized and one expected result is missing.</t>
  </si>
  <si>
    <t>Element: 0.75 vs 1; ERPC: 0.75 vs 1</t>
  </si>
  <si>
    <t>Report_32_uml_pages</t>
  </si>
  <si>
    <t>SEMANTIC_COVERAGE_READY11/mistral 14b/llama/Report_32_uml_pages/Report_32_uml_pages.txt</t>
  </si>
  <si>
    <t>SEMANTIC_COVERAGE_READY11/mistral 14b/llama/Report_32_uml_pages/Report_32_uml_pages_testcases.csv</t>
  </si>
  <si>
    <t>Login, user/object/service/announcement creation, deletion and query-failure behavior is covered; generic numbered routine transitions are not explicitly represented, and one expected result is absent.</t>
  </si>
  <si>
    <t>Report_33_uml_pages</t>
  </si>
  <si>
    <t>SEMANTIC_COVERAGE_READY11/mistral 14b/llava/Report_33_uml_pages/Report_33_uml_pages.txt</t>
  </si>
  <si>
    <t>SEMANTIC_COVERAGE_READY11/mistral 14b/llava/Report_33_uml_pages/Report_33_uml_pages_testcases.csv</t>
  </si>
  <si>
    <t>Person, map, widget, API, main-activity, country-loading and suggestion-screen behavior is represented; malformed/noisy source labels reduce certainty for a few low-level mappings.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</si>
</sst>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3" fontId="2" numFmtId="164" xfId="0" applyAlignment="1" applyFill="1" applyFont="1" applyNumberFormat="1">
      <alignment shrinkToFit="0" wrapText="1"/>
    </xf>
    <xf borderId="0" fillId="4" fontId="2" numFmtId="2" xfId="0" applyAlignment="1" applyFill="1" applyFont="1" applyNumberFormat="1">
      <alignment shrinkToFit="0" wrapText="1"/>
    </xf>
    <xf borderId="0" fillId="5" fontId="2" numFmtId="164" xfId="0" applyAlignment="1" applyFill="1" applyFont="1" applyNumberFormat="1">
      <alignment shrinkToFit="0" wrapText="1"/>
    </xf>
    <xf borderId="0" fillId="4" fontId="2" numFmtId="0" xfId="0" applyAlignment="1" applyFill="1" applyFont="1">
      <alignment shrinkToFit="0" wrapText="1"/>
    </xf>
    <xf borderId="0" fillId="4" fontId="2" numFmtId="2" xfId="0" applyAlignment="1" applyFill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8.0"/>
    <col customWidth="1" min="4" max="5" width="38.0"/>
    <col customWidth="1" min="6" max="6" width="14.0"/>
    <col customWidth="1" min="7" max="9" width="12.0"/>
    <col customWidth="1" min="10" max="10" width="14.0"/>
    <col customWidth="1" min="11" max="13" width="12.0"/>
    <col customWidth="1" min="14" max="14" width="14.0"/>
    <col customWidth="1" min="15" max="17" width="12.0"/>
    <col customWidth="1" min="18" max="18" width="14.0"/>
    <col customWidth="1" min="19" max="21" width="12.0"/>
    <col customWidth="1" min="22" max="22" width="14.0"/>
    <col customWidth="1" min="23" max="25" width="12.0"/>
    <col customWidth="1" min="26" max="26" width="14.0"/>
    <col customWidth="1" min="27" max="29" width="12.0"/>
    <col customWidth="1" min="30" max="30" width="14.0"/>
    <col customWidth="1" min="31" max="33" width="12.0"/>
    <col customWidth="1" min="34" max="36" width="8.71"/>
    <col customWidth="1" min="37" max="38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15</v>
      </c>
      <c r="P1" s="1" t="s">
        <v>16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24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32</v>
      </c>
      <c r="AC1" s="1" t="s">
        <v>33</v>
      </c>
      <c r="AD1" s="1" t="s">
        <v>35</v>
      </c>
      <c r="AE1" s="1" t="s">
        <v>36</v>
      </c>
      <c r="AF1" s="1" t="s">
        <v>37</v>
      </c>
      <c r="AG1" s="1" t="s">
        <v>39</v>
      </c>
      <c r="AH1" s="1" t="s">
        <v>41</v>
      </c>
      <c r="AI1" s="1" t="s">
        <v>42</v>
      </c>
      <c r="AJ1" s="1" t="s">
        <v>43</v>
      </c>
      <c r="AK1" s="1" t="s">
        <v>45</v>
      </c>
      <c r="AL1" s="1" t="s">
        <v>47</v>
      </c>
    </row>
    <row r="2">
      <c r="A2" s="2" t="s">
        <v>48</v>
      </c>
      <c r="B2" s="2" t="s">
        <v>56</v>
      </c>
      <c r="C2" s="2" t="s">
        <v>57</v>
      </c>
      <c r="D2" s="2" t="s">
        <v>58</v>
      </c>
      <c r="E2" s="2" t="s">
        <v>59</v>
      </c>
      <c r="F2" s="3">
        <v>0.745904166251421</v>
      </c>
      <c r="G2" s="4">
        <v>0.75</v>
      </c>
      <c r="H2" s="4">
        <v>0.75</v>
      </c>
      <c r="I2" s="5">
        <v>0.75</v>
      </c>
      <c r="J2" s="3">
        <v>0.7737759785218672</v>
      </c>
      <c r="K2" s="4">
        <v>0.75</v>
      </c>
      <c r="L2" s="4">
        <v>0.75</v>
      </c>
      <c r="M2" s="5">
        <v>0.75</v>
      </c>
      <c r="N2" s="3">
        <v>0.7592513263225555</v>
      </c>
      <c r="O2" s="4">
        <v>0.75</v>
      </c>
      <c r="P2" s="4">
        <v>0.75</v>
      </c>
      <c r="Q2" s="5">
        <v>0.75</v>
      </c>
      <c r="R2" s="3">
        <v>0.7596438236986146</v>
      </c>
      <c r="S2" s="4">
        <v>0.75</v>
      </c>
      <c r="T2" s="4">
        <v>0.75</v>
      </c>
      <c r="U2" s="5">
        <v>0.75</v>
      </c>
      <c r="V2" s="3">
        <v>0.7766452938318252</v>
      </c>
      <c r="W2" s="4">
        <v>0.75</v>
      </c>
      <c r="X2" s="4">
        <v>0.75</v>
      </c>
      <c r="Y2" s="5">
        <v>0.75</v>
      </c>
      <c r="Z2" s="3">
        <v>0.7887781262397766</v>
      </c>
      <c r="AA2" s="4">
        <v>0.75</v>
      </c>
      <c r="AB2" s="4">
        <v>0.75</v>
      </c>
      <c r="AC2" s="5">
        <v>0.75</v>
      </c>
      <c r="AD2" s="3">
        <v>0.95</v>
      </c>
      <c r="AE2" s="4">
        <v>0.75</v>
      </c>
      <c r="AF2" s="4">
        <v>1.0</v>
      </c>
      <c r="AG2" s="5">
        <v>0.875</v>
      </c>
      <c r="AH2" s="2">
        <v>20.0</v>
      </c>
      <c r="AI2" s="2">
        <v>19.0</v>
      </c>
      <c r="AJ2" s="2">
        <v>0.95</v>
      </c>
      <c r="AK2" s="2" t="s">
        <v>60</v>
      </c>
      <c r="AL2" s="2" t="s">
        <v>61</v>
      </c>
    </row>
    <row r="3">
      <c r="A3" s="2" t="s">
        <v>62</v>
      </c>
      <c r="B3" s="2" t="s">
        <v>56</v>
      </c>
      <c r="C3" s="2" t="s">
        <v>63</v>
      </c>
      <c r="D3" s="2" t="s">
        <v>64</v>
      </c>
      <c r="E3" s="2" t="s">
        <v>65</v>
      </c>
      <c r="F3" s="3">
        <v>0.7436558497803551</v>
      </c>
      <c r="G3" s="4">
        <v>0.75</v>
      </c>
      <c r="H3" s="4">
        <v>0.75</v>
      </c>
      <c r="I3" s="5">
        <v>0.75</v>
      </c>
      <c r="J3" s="3">
        <v>0.8125246614217758</v>
      </c>
      <c r="K3" s="4">
        <v>0.75</v>
      </c>
      <c r="L3" s="4">
        <v>0.75</v>
      </c>
      <c r="M3" s="5">
        <v>0.75</v>
      </c>
      <c r="N3" s="3">
        <v>0.7715723911921183</v>
      </c>
      <c r="O3" s="4">
        <v>0.75</v>
      </c>
      <c r="P3" s="4">
        <v>0.75</v>
      </c>
      <c r="Q3" s="5">
        <v>0.75</v>
      </c>
      <c r="R3" s="3">
        <v>0.7759176341314165</v>
      </c>
      <c r="S3" s="4">
        <v>0.75</v>
      </c>
      <c r="T3" s="4">
        <v>0.75</v>
      </c>
      <c r="U3" s="5">
        <v>0.75</v>
      </c>
      <c r="V3" s="3">
        <v>0.7247516325875825</v>
      </c>
      <c r="W3" s="4">
        <v>0.75</v>
      </c>
      <c r="X3" s="4">
        <v>0.75</v>
      </c>
      <c r="Y3" s="5">
        <v>0.75</v>
      </c>
      <c r="Z3" s="3">
        <v>0.7179136023376927</v>
      </c>
      <c r="AA3" s="4">
        <v>0.75</v>
      </c>
      <c r="AB3" s="4">
        <v>0.75</v>
      </c>
      <c r="AC3" s="5">
        <v>0.75</v>
      </c>
      <c r="AD3" s="3">
        <v>1.0</v>
      </c>
      <c r="AE3" s="4">
        <v>1.0</v>
      </c>
      <c r="AF3" s="4">
        <v>1.0</v>
      </c>
      <c r="AG3" s="5">
        <v>1.0</v>
      </c>
      <c r="AH3" s="2">
        <v>14.0</v>
      </c>
      <c r="AI3" s="2">
        <v>14.0</v>
      </c>
      <c r="AJ3" s="2">
        <v>1.0</v>
      </c>
      <c r="AK3" s="2" t="s">
        <v>66</v>
      </c>
      <c r="AL3" s="2" t="s">
        <v>67</v>
      </c>
    </row>
    <row r="4">
      <c r="A4" s="2" t="s">
        <v>68</v>
      </c>
      <c r="B4" s="2" t="s">
        <v>56</v>
      </c>
      <c r="C4" s="2" t="s">
        <v>69</v>
      </c>
      <c r="D4" s="2" t="s">
        <v>70</v>
      </c>
      <c r="E4" s="2" t="s">
        <v>71</v>
      </c>
      <c r="F4" s="3">
        <v>0.7826830849928015</v>
      </c>
      <c r="G4" s="4">
        <v>0.75</v>
      </c>
      <c r="H4" s="4">
        <v>0.75</v>
      </c>
      <c r="I4" s="5">
        <v>0.75</v>
      </c>
      <c r="J4" s="3">
        <v>0.8073850550033428</v>
      </c>
      <c r="K4" s="4">
        <v>0.75</v>
      </c>
      <c r="L4" s="4">
        <v>0.75</v>
      </c>
      <c r="M4" s="5">
        <v>0.75</v>
      </c>
      <c r="N4" s="3">
        <v>0.7743889838457108</v>
      </c>
      <c r="O4" s="4">
        <v>0.5</v>
      </c>
      <c r="P4" s="4">
        <v>0.75</v>
      </c>
      <c r="Q4" s="5">
        <v>0.625</v>
      </c>
      <c r="R4" s="3">
        <v>0.7881523746139516</v>
      </c>
      <c r="S4" s="4">
        <v>0.75</v>
      </c>
      <c r="T4" s="4">
        <v>0.75</v>
      </c>
      <c r="U4" s="5">
        <v>0.75</v>
      </c>
      <c r="V4" s="3">
        <v>0.7787218248402631</v>
      </c>
      <c r="W4" s="4">
        <v>0.5</v>
      </c>
      <c r="X4" s="4">
        <v>0.75</v>
      </c>
      <c r="Y4" s="5">
        <v>0.625</v>
      </c>
      <c r="Z4" s="3">
        <v>0.7735749036073685</v>
      </c>
      <c r="AA4" s="4">
        <v>0.5</v>
      </c>
      <c r="AB4" s="4">
        <v>0.75</v>
      </c>
      <c r="AC4" s="5">
        <v>0.625</v>
      </c>
      <c r="AD4" s="3">
        <v>1.0</v>
      </c>
      <c r="AE4" s="4">
        <v>1.0</v>
      </c>
      <c r="AF4" s="4">
        <v>1.0</v>
      </c>
      <c r="AG4" s="5">
        <v>1.0</v>
      </c>
      <c r="AH4" s="2">
        <v>10.0</v>
      </c>
      <c r="AI4" s="2">
        <v>10.0</v>
      </c>
      <c r="AJ4" s="2">
        <v>1.0</v>
      </c>
      <c r="AK4" s="2" t="s">
        <v>72</v>
      </c>
      <c r="AL4" s="2" t="s">
        <v>73</v>
      </c>
    </row>
    <row r="5">
      <c r="A5" s="2" t="s">
        <v>74</v>
      </c>
      <c r="B5" s="2" t="s">
        <v>56</v>
      </c>
      <c r="C5" s="2" t="s">
        <v>75</v>
      </c>
      <c r="D5" s="2" t="s">
        <v>76</v>
      </c>
      <c r="E5" s="2" t="s">
        <v>77</v>
      </c>
      <c r="F5" s="3">
        <v>0.7364867607752482</v>
      </c>
      <c r="G5" s="4">
        <v>0.5</v>
      </c>
      <c r="H5" s="4">
        <v>0.75</v>
      </c>
      <c r="I5" s="5">
        <v>0.625</v>
      </c>
      <c r="J5" s="3">
        <v>0.7212891910757337</v>
      </c>
      <c r="K5" s="4">
        <v>0.5</v>
      </c>
      <c r="L5" s="4">
        <v>0.75</v>
      </c>
      <c r="M5" s="5">
        <v>0.625</v>
      </c>
      <c r="N5" s="3">
        <v>1.0</v>
      </c>
      <c r="O5" s="4">
        <v>0.75</v>
      </c>
      <c r="P5" s="4">
        <v>0.75</v>
      </c>
      <c r="Q5" s="5">
        <v>0.75</v>
      </c>
      <c r="R5" s="3">
        <v>0.819258650616994</v>
      </c>
      <c r="S5" s="4">
        <v>0.5</v>
      </c>
      <c r="T5" s="4">
        <v>0.75</v>
      </c>
      <c r="U5" s="5">
        <v>0.625</v>
      </c>
      <c r="V5" s="3">
        <v>0.6904496008699591</v>
      </c>
      <c r="W5" s="4">
        <v>0.5</v>
      </c>
      <c r="X5" s="4">
        <v>0.75</v>
      </c>
      <c r="Y5" s="5">
        <v>0.625</v>
      </c>
      <c r="Z5" s="3">
        <v>0.6789832214514414</v>
      </c>
      <c r="AA5" s="4">
        <v>0.75</v>
      </c>
      <c r="AB5" s="4">
        <v>0.75</v>
      </c>
      <c r="AC5" s="5">
        <v>0.75</v>
      </c>
      <c r="AD5" s="3">
        <v>1.0</v>
      </c>
      <c r="AE5" s="4">
        <v>1.0</v>
      </c>
      <c r="AF5" s="4">
        <v>1.0</v>
      </c>
      <c r="AG5" s="5">
        <v>1.0</v>
      </c>
      <c r="AH5" s="2">
        <v>10.0</v>
      </c>
      <c r="AI5" s="2">
        <v>10.0</v>
      </c>
      <c r="AJ5" s="2">
        <v>1.0</v>
      </c>
      <c r="AK5" s="2" t="s">
        <v>78</v>
      </c>
      <c r="AL5" s="2" t="s">
        <v>79</v>
      </c>
    </row>
    <row r="6">
      <c r="A6" s="2" t="s">
        <v>80</v>
      </c>
      <c r="B6" s="2" t="s">
        <v>56</v>
      </c>
      <c r="C6" s="2" t="s">
        <v>81</v>
      </c>
      <c r="D6" s="2" t="s">
        <v>82</v>
      </c>
      <c r="E6" s="2" t="s">
        <v>83</v>
      </c>
      <c r="F6" s="3">
        <v>0.7681600689888001</v>
      </c>
      <c r="G6" s="4">
        <v>1.0</v>
      </c>
      <c r="H6" s="4">
        <v>0.75</v>
      </c>
      <c r="I6" s="5">
        <v>0.875</v>
      </c>
      <c r="J6" s="3">
        <v>0.8001053675457284</v>
      </c>
      <c r="K6" s="4">
        <v>0.75</v>
      </c>
      <c r="L6" s="4">
        <v>1.0</v>
      </c>
      <c r="M6" s="5">
        <v>0.875</v>
      </c>
      <c r="N6" s="3">
        <v>0.7914982040723165</v>
      </c>
      <c r="O6" s="4">
        <v>0.75</v>
      </c>
      <c r="P6" s="4">
        <v>0.75</v>
      </c>
      <c r="Q6" s="5">
        <v>0.75</v>
      </c>
      <c r="R6" s="3">
        <v>0.7865878802022817</v>
      </c>
      <c r="S6" s="4">
        <v>0.75</v>
      </c>
      <c r="T6" s="4">
        <v>0.75</v>
      </c>
      <c r="U6" s="5">
        <v>0.75</v>
      </c>
      <c r="V6" s="3">
        <v>0.768880497841608</v>
      </c>
      <c r="W6" s="4">
        <v>0.75</v>
      </c>
      <c r="X6" s="4">
        <v>0.75</v>
      </c>
      <c r="Y6" s="5">
        <v>0.75</v>
      </c>
      <c r="Z6" s="3">
        <v>0.7587590217590332</v>
      </c>
      <c r="AA6" s="4">
        <v>0.75</v>
      </c>
      <c r="AB6" s="4">
        <v>0.75</v>
      </c>
      <c r="AC6" s="5">
        <v>0.75</v>
      </c>
      <c r="AD6" s="3">
        <v>0.9523809523809523</v>
      </c>
      <c r="AE6" s="4">
        <v>0.75</v>
      </c>
      <c r="AF6" s="4">
        <v>1.0</v>
      </c>
      <c r="AG6" s="5">
        <v>0.875</v>
      </c>
      <c r="AH6" s="2">
        <v>21.0</v>
      </c>
      <c r="AI6" s="2">
        <v>20.0</v>
      </c>
      <c r="AJ6" s="2">
        <v>0.9523809523809523</v>
      </c>
      <c r="AK6" s="2" t="s">
        <v>84</v>
      </c>
      <c r="AL6" s="2" t="s">
        <v>85</v>
      </c>
    </row>
    <row r="7">
      <c r="A7" s="2" t="s">
        <v>86</v>
      </c>
      <c r="B7" s="2" t="s">
        <v>87</v>
      </c>
      <c r="C7" s="2" t="s">
        <v>57</v>
      </c>
      <c r="D7" s="2" t="s">
        <v>88</v>
      </c>
      <c r="E7" s="2" t="s">
        <v>89</v>
      </c>
      <c r="F7" s="3">
        <v>0.7556474685668946</v>
      </c>
      <c r="G7" s="4">
        <v>0.75</v>
      </c>
      <c r="H7" s="4">
        <v>0.75</v>
      </c>
      <c r="I7" s="5">
        <v>0.75</v>
      </c>
      <c r="J7" s="3">
        <v>0.7693189358711243</v>
      </c>
      <c r="K7" s="4">
        <v>0.75</v>
      </c>
      <c r="L7" s="4">
        <v>0.75</v>
      </c>
      <c r="M7" s="5">
        <v>0.75</v>
      </c>
      <c r="N7" s="3">
        <v>0.7483919163544973</v>
      </c>
      <c r="O7" s="4">
        <v>0.75</v>
      </c>
      <c r="P7" s="4">
        <v>0.75</v>
      </c>
      <c r="Q7" s="5">
        <v>0.75</v>
      </c>
      <c r="R7" s="3">
        <v>0.7577861069308387</v>
      </c>
      <c r="S7" s="4">
        <v>0.75</v>
      </c>
      <c r="T7" s="4">
        <v>0.75</v>
      </c>
      <c r="U7" s="5">
        <v>0.75</v>
      </c>
      <c r="V7" s="3">
        <v>0.6967791680778775</v>
      </c>
      <c r="W7" s="4">
        <v>0.75</v>
      </c>
      <c r="X7" s="4">
        <v>0.75</v>
      </c>
      <c r="Y7" s="5">
        <v>0.75</v>
      </c>
      <c r="Z7" s="3">
        <v>0.7071548104286194</v>
      </c>
      <c r="AA7" s="4">
        <v>0.75</v>
      </c>
      <c r="AB7" s="4">
        <v>0.75</v>
      </c>
      <c r="AC7" s="5">
        <v>0.75</v>
      </c>
      <c r="AD7" s="3">
        <v>0.9285714285714286</v>
      </c>
      <c r="AE7" s="4">
        <v>0.75</v>
      </c>
      <c r="AF7" s="4">
        <v>1.0</v>
      </c>
      <c r="AG7" s="5">
        <v>0.875</v>
      </c>
      <c r="AH7" s="2">
        <v>14.0</v>
      </c>
      <c r="AI7" s="2">
        <v>13.0</v>
      </c>
      <c r="AJ7" s="2">
        <v>0.9285714285714286</v>
      </c>
      <c r="AK7" s="2" t="s">
        <v>90</v>
      </c>
      <c r="AL7" s="2" t="s">
        <v>91</v>
      </c>
    </row>
    <row r="8">
      <c r="A8" s="2" t="s">
        <v>92</v>
      </c>
      <c r="B8" s="2" t="s">
        <v>87</v>
      </c>
      <c r="C8" s="2" t="s">
        <v>63</v>
      </c>
      <c r="D8" s="2" t="s">
        <v>93</v>
      </c>
      <c r="E8" s="2" t="s">
        <v>94</v>
      </c>
      <c r="F8" s="3">
        <v>0.7487941854878476</v>
      </c>
      <c r="G8" s="4">
        <v>0.5</v>
      </c>
      <c r="H8" s="4">
        <v>0.75</v>
      </c>
      <c r="I8" s="5">
        <v>0.625</v>
      </c>
      <c r="J8" s="3">
        <v>0.7876619748198069</v>
      </c>
      <c r="K8" s="4">
        <v>0.75</v>
      </c>
      <c r="L8" s="4">
        <v>0.75</v>
      </c>
      <c r="M8" s="5">
        <v>0.75</v>
      </c>
      <c r="N8" s="3">
        <v>0.7562246322631836</v>
      </c>
      <c r="O8" s="4">
        <v>0.75</v>
      </c>
      <c r="P8" s="4">
        <v>0.75</v>
      </c>
      <c r="Q8" s="5">
        <v>0.75</v>
      </c>
      <c r="R8" s="3">
        <v>0.764226930856946</v>
      </c>
      <c r="S8" s="4">
        <v>0.75</v>
      </c>
      <c r="T8" s="4">
        <v>0.75</v>
      </c>
      <c r="U8" s="5">
        <v>0.75</v>
      </c>
      <c r="V8" s="3">
        <v>0.7988762259483337</v>
      </c>
      <c r="W8" s="4">
        <v>0.75</v>
      </c>
      <c r="X8" s="4">
        <v>0.75</v>
      </c>
      <c r="Y8" s="5">
        <v>0.75</v>
      </c>
      <c r="Z8" s="3">
        <v>0.8037549138069153</v>
      </c>
      <c r="AA8" s="4">
        <v>0.75</v>
      </c>
      <c r="AB8" s="4">
        <v>0.75</v>
      </c>
      <c r="AC8" s="5">
        <v>0.75</v>
      </c>
      <c r="AD8" s="3">
        <v>0.9230769230769231</v>
      </c>
      <c r="AE8" s="4">
        <v>0.75</v>
      </c>
      <c r="AF8" s="4">
        <v>1.0</v>
      </c>
      <c r="AG8" s="5">
        <v>0.875</v>
      </c>
      <c r="AH8" s="2">
        <v>13.0</v>
      </c>
      <c r="AI8" s="2">
        <v>12.0</v>
      </c>
      <c r="AJ8" s="2">
        <v>0.9230769230769231</v>
      </c>
      <c r="AK8" s="2" t="s">
        <v>95</v>
      </c>
      <c r="AL8" s="2" t="s">
        <v>96</v>
      </c>
    </row>
    <row r="9">
      <c r="A9" s="2" t="s">
        <v>97</v>
      </c>
      <c r="B9" s="2" t="s">
        <v>87</v>
      </c>
      <c r="C9" s="2" t="s">
        <v>69</v>
      </c>
      <c r="D9" s="2" t="s">
        <v>98</v>
      </c>
      <c r="E9" s="2" t="s">
        <v>99</v>
      </c>
      <c r="F9" s="3">
        <v>0.732635697722435</v>
      </c>
      <c r="G9" s="4">
        <v>0.75</v>
      </c>
      <c r="H9" s="4">
        <v>0.75</v>
      </c>
      <c r="I9" s="5">
        <v>0.75</v>
      </c>
      <c r="J9" s="3">
        <v>0.7830468267202377</v>
      </c>
      <c r="K9" s="4">
        <v>0.75</v>
      </c>
      <c r="L9" s="4">
        <v>0.75</v>
      </c>
      <c r="M9" s="5">
        <v>0.75</v>
      </c>
      <c r="N9" s="3">
        <v>0.7677572468916575</v>
      </c>
      <c r="O9" s="4">
        <v>0.75</v>
      </c>
      <c r="P9" s="4">
        <v>0.75</v>
      </c>
      <c r="Q9" s="5">
        <v>0.75</v>
      </c>
      <c r="R9" s="3">
        <v>0.7611465904447767</v>
      </c>
      <c r="S9" s="4">
        <v>0.75</v>
      </c>
      <c r="T9" s="4">
        <v>0.75</v>
      </c>
      <c r="U9" s="5">
        <v>0.75</v>
      </c>
      <c r="V9" s="3">
        <v>0.695956113934517</v>
      </c>
      <c r="W9" s="4">
        <v>0.75</v>
      </c>
      <c r="X9" s="4">
        <v>0.75</v>
      </c>
      <c r="Y9" s="5">
        <v>0.75</v>
      </c>
      <c r="Z9" s="3">
        <v>0.7001784816384315</v>
      </c>
      <c r="AA9" s="4">
        <v>0.75</v>
      </c>
      <c r="AB9" s="4">
        <v>0.75</v>
      </c>
      <c r="AC9" s="5">
        <v>0.75</v>
      </c>
      <c r="AD9" s="3">
        <v>1.0</v>
      </c>
      <c r="AE9" s="4">
        <v>1.0</v>
      </c>
      <c r="AF9" s="4">
        <v>1.0</v>
      </c>
      <c r="AG9" s="5">
        <v>1.0</v>
      </c>
      <c r="AH9" s="2">
        <v>12.0</v>
      </c>
      <c r="AI9" s="2">
        <v>12.0</v>
      </c>
      <c r="AJ9" s="2">
        <v>1.0</v>
      </c>
      <c r="AK9" s="2" t="s">
        <v>100</v>
      </c>
      <c r="AL9" s="2" t="s">
        <v>67</v>
      </c>
    </row>
    <row r="10">
      <c r="A10" s="2" t="s">
        <v>101</v>
      </c>
      <c r="B10" s="2" t="s">
        <v>87</v>
      </c>
      <c r="C10" s="2" t="s">
        <v>75</v>
      </c>
      <c r="D10" s="2" t="s">
        <v>102</v>
      </c>
      <c r="E10" s="2" t="s">
        <v>103</v>
      </c>
      <c r="F10" s="3">
        <v>0.7579712700843811</v>
      </c>
      <c r="G10" s="4">
        <v>0.75</v>
      </c>
      <c r="H10" s="4">
        <v>1.0</v>
      </c>
      <c r="I10" s="5">
        <v>0.875</v>
      </c>
      <c r="J10" s="3">
        <v>0.761205812534654</v>
      </c>
      <c r="K10" s="4">
        <v>0.75</v>
      </c>
      <c r="L10" s="4">
        <v>1.0</v>
      </c>
      <c r="M10" s="5">
        <v>0.875</v>
      </c>
      <c r="N10" s="3">
        <v>0.7954583068688711</v>
      </c>
      <c r="O10" s="4">
        <v>0.75</v>
      </c>
      <c r="P10" s="4">
        <v>0.75</v>
      </c>
      <c r="Q10" s="5">
        <v>0.75</v>
      </c>
      <c r="R10" s="3">
        <v>0.7715451298293021</v>
      </c>
      <c r="S10" s="4">
        <v>0.75</v>
      </c>
      <c r="T10" s="4">
        <v>1.0</v>
      </c>
      <c r="U10" s="5">
        <v>0.875</v>
      </c>
      <c r="V10" s="3">
        <v>0.7175887552174655</v>
      </c>
      <c r="W10" s="4">
        <v>0.75</v>
      </c>
      <c r="X10" s="4">
        <v>1.0</v>
      </c>
      <c r="Y10" s="5">
        <v>0.875</v>
      </c>
      <c r="Z10" s="3">
        <v>0.6871925592422485</v>
      </c>
      <c r="AA10" s="4">
        <v>0.75</v>
      </c>
      <c r="AB10" s="4">
        <v>0.75</v>
      </c>
      <c r="AC10" s="5">
        <v>0.75</v>
      </c>
      <c r="AD10" s="3">
        <v>1.0</v>
      </c>
      <c r="AE10" s="4">
        <v>1.0</v>
      </c>
      <c r="AF10" s="4">
        <v>1.0</v>
      </c>
      <c r="AG10" s="5">
        <v>1.0</v>
      </c>
      <c r="AH10" s="2">
        <v>17.0</v>
      </c>
      <c r="AI10" s="2">
        <v>17.0</v>
      </c>
      <c r="AJ10" s="2">
        <v>1.0</v>
      </c>
      <c r="AK10" s="2" t="s">
        <v>104</v>
      </c>
      <c r="AL10" s="2" t="s">
        <v>105</v>
      </c>
    </row>
    <row r="11">
      <c r="A11" s="2" t="s">
        <v>106</v>
      </c>
      <c r="B11" s="2" t="s">
        <v>87</v>
      </c>
      <c r="C11" s="2" t="s">
        <v>81</v>
      </c>
      <c r="D11" s="2" t="s">
        <v>107</v>
      </c>
      <c r="E11" s="2" t="s">
        <v>108</v>
      </c>
      <c r="F11" s="3">
        <v>0.7238872945308685</v>
      </c>
      <c r="G11" s="4">
        <v>0.75</v>
      </c>
      <c r="H11" s="4">
        <v>0.75</v>
      </c>
      <c r="I11" s="5">
        <v>0.75</v>
      </c>
      <c r="J11" s="3">
        <v>0.7820218646967853</v>
      </c>
      <c r="K11" s="4">
        <v>0.75</v>
      </c>
      <c r="L11" s="4">
        <v>1.0</v>
      </c>
      <c r="M11" s="5">
        <v>0.875</v>
      </c>
      <c r="N11" s="3">
        <v>0.7285430207848549</v>
      </c>
      <c r="O11" s="4">
        <v>0.75</v>
      </c>
      <c r="P11" s="4">
        <v>0.75</v>
      </c>
      <c r="Q11" s="5">
        <v>0.75</v>
      </c>
      <c r="R11" s="3">
        <v>0.7448173933375029</v>
      </c>
      <c r="S11" s="4">
        <v>0.75</v>
      </c>
      <c r="T11" s="4">
        <v>0.75</v>
      </c>
      <c r="U11" s="5">
        <v>0.75</v>
      </c>
      <c r="V11" s="3">
        <v>0.7198361621962653</v>
      </c>
      <c r="W11" s="4">
        <v>0.75</v>
      </c>
      <c r="X11" s="4">
        <v>0.75</v>
      </c>
      <c r="Y11" s="5">
        <v>0.75</v>
      </c>
      <c r="Z11" s="3">
        <v>0.7190588042140007</v>
      </c>
      <c r="AA11" s="4">
        <v>0.75</v>
      </c>
      <c r="AB11" s="4">
        <v>0.75</v>
      </c>
      <c r="AC11" s="5">
        <v>0.75</v>
      </c>
      <c r="AD11" s="3">
        <v>0.9375</v>
      </c>
      <c r="AE11" s="4">
        <v>0.75</v>
      </c>
      <c r="AF11" s="4">
        <v>1.0</v>
      </c>
      <c r="AG11" s="5">
        <v>0.875</v>
      </c>
      <c r="AH11" s="2">
        <v>16.0</v>
      </c>
      <c r="AI11" s="2">
        <v>15.0</v>
      </c>
      <c r="AJ11" s="2">
        <v>0.9375</v>
      </c>
      <c r="AK11" s="2" t="s">
        <v>109</v>
      </c>
      <c r="AL11" s="2" t="s">
        <v>110</v>
      </c>
    </row>
    <row r="12">
      <c r="A12" s="2" t="s">
        <v>111</v>
      </c>
      <c r="B12" s="2" t="s">
        <v>112</v>
      </c>
      <c r="C12" s="2" t="s">
        <v>57</v>
      </c>
      <c r="D12" s="2" t="s">
        <v>113</v>
      </c>
      <c r="E12" s="2" t="s">
        <v>114</v>
      </c>
      <c r="F12" s="3">
        <v>0.710939098377617</v>
      </c>
      <c r="G12" s="4">
        <v>0.75</v>
      </c>
      <c r="H12" s="4">
        <v>0.75</v>
      </c>
      <c r="I12" s="5">
        <v>0.75</v>
      </c>
      <c r="J12" s="3">
        <v>0.7612155416224262</v>
      </c>
      <c r="K12" s="4">
        <v>0.5</v>
      </c>
      <c r="L12" s="4">
        <v>0.75</v>
      </c>
      <c r="M12" s="5">
        <v>0.625</v>
      </c>
      <c r="N12" s="3">
        <v>0.7488007259368896</v>
      </c>
      <c r="O12" s="4">
        <v>0.5</v>
      </c>
      <c r="P12" s="4">
        <v>0.75</v>
      </c>
      <c r="Q12" s="5">
        <v>0.625</v>
      </c>
      <c r="R12" s="3">
        <v>0.7403184553123111</v>
      </c>
      <c r="S12" s="4">
        <v>0.5</v>
      </c>
      <c r="T12" s="4">
        <v>0.75</v>
      </c>
      <c r="U12" s="5">
        <v>0.625</v>
      </c>
      <c r="V12" s="3">
        <v>0.6555173930368925</v>
      </c>
      <c r="W12" s="4">
        <v>0.5</v>
      </c>
      <c r="X12" s="4">
        <v>0.75</v>
      </c>
      <c r="Y12" s="5">
        <v>0.625</v>
      </c>
      <c r="Z12" s="3">
        <v>0.6550104563263641</v>
      </c>
      <c r="AA12" s="4">
        <v>0.5</v>
      </c>
      <c r="AB12" s="4">
        <v>0.75</v>
      </c>
      <c r="AC12" s="5">
        <v>0.625</v>
      </c>
      <c r="AD12" s="3">
        <v>1.0</v>
      </c>
      <c r="AE12" s="4">
        <v>1.0</v>
      </c>
      <c r="AF12" s="4">
        <v>1.0</v>
      </c>
      <c r="AG12" s="5">
        <v>1.0</v>
      </c>
      <c r="AH12" s="2">
        <v>17.0</v>
      </c>
      <c r="AI12" s="2">
        <v>17.0</v>
      </c>
      <c r="AJ12" s="2">
        <v>1.0</v>
      </c>
      <c r="AK12" s="2" t="s">
        <v>115</v>
      </c>
      <c r="AL12" s="2" t="s">
        <v>116</v>
      </c>
    </row>
    <row r="13">
      <c r="A13" s="2" t="s">
        <v>117</v>
      </c>
      <c r="B13" s="2" t="s">
        <v>112</v>
      </c>
      <c r="C13" s="2" t="s">
        <v>63</v>
      </c>
      <c r="D13" s="2" t="s">
        <v>118</v>
      </c>
      <c r="E13" s="2" t="s">
        <v>119</v>
      </c>
      <c r="F13" s="3">
        <v>0.7672357559204102</v>
      </c>
      <c r="G13" s="4">
        <v>0.75</v>
      </c>
      <c r="H13" s="4">
        <v>1.0</v>
      </c>
      <c r="I13" s="5">
        <v>0.875</v>
      </c>
      <c r="J13" s="3">
        <v>0.8169652534567792</v>
      </c>
      <c r="K13" s="4">
        <v>0.75</v>
      </c>
      <c r="L13" s="4">
        <v>1.0</v>
      </c>
      <c r="M13" s="5">
        <v>0.875</v>
      </c>
      <c r="N13" s="3">
        <v>0.7498857975006104</v>
      </c>
      <c r="O13" s="4"/>
      <c r="P13" s="4"/>
      <c r="Q13" s="5"/>
      <c r="R13" s="3">
        <v>0.7780289356259332</v>
      </c>
      <c r="S13" s="4">
        <v>0.75</v>
      </c>
      <c r="T13" s="4">
        <v>1.0</v>
      </c>
      <c r="U13" s="5">
        <v>0.875</v>
      </c>
      <c r="V13" s="3">
        <v>0.724459843976157</v>
      </c>
      <c r="W13" s="4">
        <v>0.75</v>
      </c>
      <c r="X13" s="4">
        <v>1.0</v>
      </c>
      <c r="Y13" s="5">
        <v>0.875</v>
      </c>
      <c r="Z13" s="3"/>
      <c r="AA13" s="4"/>
      <c r="AB13" s="4"/>
      <c r="AC13" s="5"/>
      <c r="AD13" s="3">
        <v>1.0</v>
      </c>
      <c r="AE13" s="4">
        <v>1.0</v>
      </c>
      <c r="AF13" s="4">
        <v>1.0</v>
      </c>
      <c r="AG13" s="5">
        <v>1.0</v>
      </c>
      <c r="AH13" s="2">
        <v>31.0</v>
      </c>
      <c r="AI13" s="2">
        <v>31.0</v>
      </c>
      <c r="AJ13" s="2">
        <v>1.0</v>
      </c>
      <c r="AK13" s="2" t="s">
        <v>120</v>
      </c>
      <c r="AL13" s="2" t="s">
        <v>105</v>
      </c>
    </row>
    <row r="14">
      <c r="A14" s="2" t="s">
        <v>121</v>
      </c>
      <c r="B14" s="2" t="s">
        <v>112</v>
      </c>
      <c r="C14" s="2" t="s">
        <v>69</v>
      </c>
      <c r="D14" s="2" t="s">
        <v>122</v>
      </c>
      <c r="E14" s="2" t="s">
        <v>123</v>
      </c>
      <c r="F14" s="3">
        <v>0.7393961091836293</v>
      </c>
      <c r="G14" s="4">
        <v>0.5</v>
      </c>
      <c r="H14" s="4">
        <v>0.75</v>
      </c>
      <c r="I14" s="5">
        <v>0.625</v>
      </c>
      <c r="J14" s="3">
        <v>0.7811219511287553</v>
      </c>
      <c r="K14" s="4">
        <v>0.5</v>
      </c>
      <c r="L14" s="4">
        <v>0.5</v>
      </c>
      <c r="M14" s="5">
        <v>0.5</v>
      </c>
      <c r="N14" s="3">
        <v>0.7592570506609403</v>
      </c>
      <c r="O14" s="4">
        <v>0.5</v>
      </c>
      <c r="P14" s="4">
        <v>0.5</v>
      </c>
      <c r="Q14" s="5">
        <v>0.5</v>
      </c>
      <c r="R14" s="3">
        <v>0.7599250369911082</v>
      </c>
      <c r="S14" s="4">
        <v>0.5</v>
      </c>
      <c r="T14" s="4">
        <v>0.5</v>
      </c>
      <c r="U14" s="5">
        <v>0.5</v>
      </c>
      <c r="V14" s="3">
        <v>0.6945231048787226</v>
      </c>
      <c r="W14" s="4">
        <v>0.5</v>
      </c>
      <c r="X14" s="4">
        <v>0.5</v>
      </c>
      <c r="Y14" s="5">
        <v>0.5</v>
      </c>
      <c r="Z14" s="3">
        <v>0.6947183123341313</v>
      </c>
      <c r="AA14" s="4">
        <v>0.5</v>
      </c>
      <c r="AB14" s="4">
        <v>0.5</v>
      </c>
      <c r="AC14" s="5">
        <v>0.5</v>
      </c>
      <c r="AD14" s="3">
        <v>1.0</v>
      </c>
      <c r="AE14" s="4">
        <v>1.0</v>
      </c>
      <c r="AF14" s="4">
        <v>1.0</v>
      </c>
      <c r="AG14" s="5">
        <v>1.0</v>
      </c>
      <c r="AH14" s="2">
        <v>10.0</v>
      </c>
      <c r="AI14" s="2">
        <v>10.0</v>
      </c>
      <c r="AJ14" s="2">
        <v>1.0</v>
      </c>
      <c r="AK14" s="2" t="s">
        <v>124</v>
      </c>
      <c r="AL14" s="2" t="s">
        <v>125</v>
      </c>
    </row>
    <row r="15">
      <c r="A15" s="2" t="s">
        <v>126</v>
      </c>
      <c r="B15" s="2" t="s">
        <v>112</v>
      </c>
      <c r="C15" s="2" t="s">
        <v>75</v>
      </c>
      <c r="D15" s="2" t="s">
        <v>127</v>
      </c>
      <c r="E15" s="2" t="s">
        <v>128</v>
      </c>
      <c r="F15" s="3">
        <v>0.7355055324733257</v>
      </c>
      <c r="G15" s="4">
        <v>0.75</v>
      </c>
      <c r="H15" s="4">
        <v>0.75</v>
      </c>
      <c r="I15" s="5">
        <v>0.75</v>
      </c>
      <c r="J15" s="3">
        <v>0.7213025139827355</v>
      </c>
      <c r="K15" s="4">
        <v>0.75</v>
      </c>
      <c r="L15" s="4">
        <v>0.75</v>
      </c>
      <c r="M15" s="5">
        <v>0.75</v>
      </c>
      <c r="N15" s="3">
        <v>0.6930841505527496</v>
      </c>
      <c r="O15" s="4"/>
      <c r="P15" s="4"/>
      <c r="Q15" s="5"/>
      <c r="R15" s="3">
        <v>0.7166307323362703</v>
      </c>
      <c r="S15" s="4">
        <v>0.75</v>
      </c>
      <c r="T15" s="4">
        <v>0.75</v>
      </c>
      <c r="U15" s="5">
        <v>0.75</v>
      </c>
      <c r="V15" s="3">
        <v>0.7459212183952332</v>
      </c>
      <c r="W15" s="4">
        <v>0.75</v>
      </c>
      <c r="X15" s="4">
        <v>1.0</v>
      </c>
      <c r="Y15" s="5">
        <v>0.875</v>
      </c>
      <c r="Z15" s="3"/>
      <c r="AA15" s="4"/>
      <c r="AB15" s="4"/>
      <c r="AC15" s="5"/>
      <c r="AD15" s="3">
        <v>1.0</v>
      </c>
      <c r="AE15" s="4">
        <v>1.0</v>
      </c>
      <c r="AF15" s="4">
        <v>1.0</v>
      </c>
      <c r="AG15" s="5">
        <v>1.0</v>
      </c>
      <c r="AH15" s="2">
        <v>26.0</v>
      </c>
      <c r="AI15" s="2">
        <v>26.0</v>
      </c>
      <c r="AJ15" s="2">
        <v>1.0</v>
      </c>
      <c r="AK15" s="2" t="s">
        <v>129</v>
      </c>
      <c r="AL15" s="2" t="s">
        <v>130</v>
      </c>
    </row>
    <row r="16">
      <c r="A16" s="2" t="s">
        <v>131</v>
      </c>
      <c r="B16" s="2" t="s">
        <v>112</v>
      </c>
      <c r="C16" s="2" t="s">
        <v>81</v>
      </c>
      <c r="D16" s="2" t="s">
        <v>132</v>
      </c>
      <c r="E16" s="2" t="s">
        <v>133</v>
      </c>
      <c r="F16" s="3">
        <v>0.7689626216888428</v>
      </c>
      <c r="G16" s="4">
        <v>1.0</v>
      </c>
      <c r="H16" s="4">
        <v>1.0</v>
      </c>
      <c r="I16" s="5">
        <v>1.0</v>
      </c>
      <c r="J16" s="3">
        <v>0.7990570333268907</v>
      </c>
      <c r="K16" s="4">
        <v>1.0</v>
      </c>
      <c r="L16" s="4">
        <v>1.0</v>
      </c>
      <c r="M16" s="5">
        <v>1.0</v>
      </c>
      <c r="N16" s="3">
        <v>1.0</v>
      </c>
      <c r="O16" s="4"/>
      <c r="P16" s="4"/>
      <c r="Q16" s="5"/>
      <c r="R16" s="3">
        <v>0.8560065516719112</v>
      </c>
      <c r="S16" s="4">
        <v>1.0</v>
      </c>
      <c r="T16" s="4">
        <v>1.0</v>
      </c>
      <c r="U16" s="5">
        <v>1.0</v>
      </c>
      <c r="V16" s="3">
        <v>0.7299598455429077</v>
      </c>
      <c r="W16" s="4">
        <v>1.0</v>
      </c>
      <c r="X16" s="4">
        <v>1.0</v>
      </c>
      <c r="Y16" s="5">
        <v>1.0</v>
      </c>
      <c r="Z16" s="3"/>
      <c r="AA16" s="4"/>
      <c r="AB16" s="4"/>
      <c r="AC16" s="5"/>
      <c r="AD16" s="3">
        <v>0.9444444444444444</v>
      </c>
      <c r="AE16" s="4">
        <v>0.75</v>
      </c>
      <c r="AF16" s="4">
        <v>1.0</v>
      </c>
      <c r="AG16" s="5">
        <v>0.875</v>
      </c>
      <c r="AH16" s="2">
        <v>18.0</v>
      </c>
      <c r="AI16" s="2">
        <v>17.0</v>
      </c>
      <c r="AJ16" s="2">
        <v>0.9444444444444444</v>
      </c>
      <c r="AK16" s="2" t="s">
        <v>134</v>
      </c>
      <c r="AL16" s="2" t="s">
        <v>91</v>
      </c>
    </row>
    <row r="17">
      <c r="A17" s="2" t="s">
        <v>135</v>
      </c>
      <c r="B17" s="2" t="s">
        <v>136</v>
      </c>
      <c r="C17" s="2" t="s">
        <v>57</v>
      </c>
      <c r="D17" s="2" t="s">
        <v>137</v>
      </c>
      <c r="E17" s="2" t="s">
        <v>138</v>
      </c>
      <c r="F17" s="3">
        <v>0.7583710734660809</v>
      </c>
      <c r="G17" s="4">
        <v>0.75</v>
      </c>
      <c r="H17" s="4">
        <v>1.0</v>
      </c>
      <c r="I17" s="5">
        <v>0.875</v>
      </c>
      <c r="J17" s="3">
        <v>0.8205061245847631</v>
      </c>
      <c r="K17" s="4">
        <v>0.75</v>
      </c>
      <c r="L17" s="4">
        <v>1.0</v>
      </c>
      <c r="M17" s="5">
        <v>0.875</v>
      </c>
      <c r="N17" s="3">
        <v>0.7088556289672852</v>
      </c>
      <c r="O17" s="4">
        <v>0.75</v>
      </c>
      <c r="P17" s="4">
        <v>0.75</v>
      </c>
      <c r="Q17" s="5">
        <v>0.75</v>
      </c>
      <c r="R17" s="3">
        <v>0.7625776090060431</v>
      </c>
      <c r="S17" s="4">
        <v>0.75</v>
      </c>
      <c r="T17" s="4">
        <v>1.0</v>
      </c>
      <c r="U17" s="5">
        <v>0.875</v>
      </c>
      <c r="V17" s="3">
        <v>0.7227549011057074</v>
      </c>
      <c r="W17" s="4">
        <v>0.75</v>
      </c>
      <c r="X17" s="4">
        <v>1.0</v>
      </c>
      <c r="Y17" s="5">
        <v>0.875</v>
      </c>
      <c r="Z17" s="3">
        <v>0.7227549011057074</v>
      </c>
      <c r="AA17" s="4">
        <v>0.75</v>
      </c>
      <c r="AB17" s="4">
        <v>0.75</v>
      </c>
      <c r="AC17" s="5">
        <v>0.75</v>
      </c>
      <c r="AD17" s="3">
        <v>1.0</v>
      </c>
      <c r="AE17" s="4">
        <v>1.0</v>
      </c>
      <c r="AF17" s="4">
        <v>1.0</v>
      </c>
      <c r="AG17" s="5">
        <v>1.0</v>
      </c>
      <c r="AH17" s="2">
        <v>27.0</v>
      </c>
      <c r="AI17" s="2">
        <v>27.0</v>
      </c>
      <c r="AJ17" s="2">
        <v>1.0</v>
      </c>
      <c r="AK17" s="2" t="s">
        <v>139</v>
      </c>
      <c r="AL17" s="2" t="s">
        <v>105</v>
      </c>
    </row>
    <row r="18">
      <c r="A18" s="2" t="s">
        <v>140</v>
      </c>
      <c r="B18" s="2" t="s">
        <v>136</v>
      </c>
      <c r="C18" s="2" t="s">
        <v>63</v>
      </c>
      <c r="D18" s="2" t="s">
        <v>141</v>
      </c>
      <c r="E18" s="2" t="s">
        <v>142</v>
      </c>
      <c r="F18" s="3">
        <v>0.8112500080695519</v>
      </c>
      <c r="G18" s="4">
        <v>0.75</v>
      </c>
      <c r="H18" s="4">
        <v>0.75</v>
      </c>
      <c r="I18" s="5">
        <v>0.75</v>
      </c>
      <c r="J18" s="3">
        <v>0.8047926324990488</v>
      </c>
      <c r="K18" s="4">
        <v>0.5</v>
      </c>
      <c r="L18" s="4">
        <v>0.75</v>
      </c>
      <c r="M18" s="5">
        <v>0.625</v>
      </c>
      <c r="N18" s="3">
        <v>0.7929329872131348</v>
      </c>
      <c r="O18" s="4">
        <v>0.5</v>
      </c>
      <c r="P18" s="4">
        <v>0.75</v>
      </c>
      <c r="Q18" s="5">
        <v>0.625</v>
      </c>
      <c r="R18" s="3">
        <v>0.8029918759272451</v>
      </c>
      <c r="S18" s="4">
        <v>0.5</v>
      </c>
      <c r="T18" s="4">
        <v>0.75</v>
      </c>
      <c r="U18" s="5">
        <v>0.625</v>
      </c>
      <c r="V18" s="3">
        <v>0.8944933066120395</v>
      </c>
      <c r="W18" s="4">
        <v>0.5</v>
      </c>
      <c r="X18" s="4">
        <v>0.75</v>
      </c>
      <c r="Y18" s="5">
        <v>0.625</v>
      </c>
      <c r="Z18" s="3">
        <v>0.8931205213909418</v>
      </c>
      <c r="AA18" s="4">
        <v>0.5</v>
      </c>
      <c r="AB18" s="4">
        <v>0.75</v>
      </c>
      <c r="AC18" s="5">
        <v>0.625</v>
      </c>
      <c r="AD18" s="3">
        <v>0.9545454545454546</v>
      </c>
      <c r="AE18" s="4">
        <v>0.75</v>
      </c>
      <c r="AF18" s="4">
        <v>1.0</v>
      </c>
      <c r="AG18" s="5">
        <v>0.875</v>
      </c>
      <c r="AH18" s="2">
        <v>22.0</v>
      </c>
      <c r="AI18" s="2">
        <v>21.0</v>
      </c>
      <c r="AJ18" s="2">
        <v>0.9545454545454546</v>
      </c>
      <c r="AK18" s="2" t="s">
        <v>143</v>
      </c>
      <c r="AL18" s="2" t="s">
        <v>144</v>
      </c>
    </row>
    <row r="19">
      <c r="A19" s="2" t="s">
        <v>145</v>
      </c>
      <c r="B19" s="2" t="s">
        <v>136</v>
      </c>
      <c r="C19" s="2" t="s">
        <v>69</v>
      </c>
      <c r="D19" s="2" t="s">
        <v>146</v>
      </c>
      <c r="E19" s="2" t="s">
        <v>147</v>
      </c>
      <c r="F19" s="3">
        <v>0.7923216581344604</v>
      </c>
      <c r="G19" s="4">
        <v>0.75</v>
      </c>
      <c r="H19" s="4">
        <v>1.0</v>
      </c>
      <c r="I19" s="5">
        <v>0.875</v>
      </c>
      <c r="J19" s="3">
        <v>0.8224329104026159</v>
      </c>
      <c r="K19" s="4">
        <v>0.75</v>
      </c>
      <c r="L19" s="4">
        <v>1.0</v>
      </c>
      <c r="M19" s="5">
        <v>0.875</v>
      </c>
      <c r="N19" s="3">
        <v>0.8305011838674545</v>
      </c>
      <c r="O19" s="4">
        <v>0.75</v>
      </c>
      <c r="P19" s="4">
        <v>1.0</v>
      </c>
      <c r="Q19" s="5">
        <v>0.875</v>
      </c>
      <c r="R19" s="3">
        <v>0.8150852508015104</v>
      </c>
      <c r="S19" s="4">
        <v>0.75</v>
      </c>
      <c r="T19" s="4">
        <v>1.0</v>
      </c>
      <c r="U19" s="5">
        <v>0.875</v>
      </c>
      <c r="V19" s="3">
        <v>0.8957820409222653</v>
      </c>
      <c r="W19" s="4">
        <v>0.75</v>
      </c>
      <c r="X19" s="4">
        <v>1.0</v>
      </c>
      <c r="Y19" s="5">
        <v>0.875</v>
      </c>
      <c r="Z19" s="3">
        <v>0.865622083346049</v>
      </c>
      <c r="AA19" s="4">
        <v>0.75</v>
      </c>
      <c r="AB19" s="4">
        <v>1.0</v>
      </c>
      <c r="AC19" s="5">
        <v>0.875</v>
      </c>
      <c r="AD19" s="3">
        <v>0.9583333333333334</v>
      </c>
      <c r="AE19" s="4">
        <v>0.75</v>
      </c>
      <c r="AF19" s="4">
        <v>1.0</v>
      </c>
      <c r="AG19" s="5">
        <v>0.875</v>
      </c>
      <c r="AH19" s="2">
        <v>24.0</v>
      </c>
      <c r="AI19" s="2">
        <v>23.0</v>
      </c>
      <c r="AJ19" s="2">
        <v>0.9583333333333334</v>
      </c>
      <c r="AK19" s="2" t="s">
        <v>148</v>
      </c>
      <c r="AL19" s="2" t="s">
        <v>149</v>
      </c>
    </row>
    <row r="20">
      <c r="A20" s="2" t="s">
        <v>150</v>
      </c>
      <c r="B20" s="2" t="s">
        <v>136</v>
      </c>
      <c r="C20" s="2" t="s">
        <v>75</v>
      </c>
      <c r="D20" s="2" t="s">
        <v>151</v>
      </c>
      <c r="E20" s="2" t="s">
        <v>152</v>
      </c>
      <c r="F20" s="3">
        <v>0.7983111863334974</v>
      </c>
      <c r="G20" s="4">
        <v>0.75</v>
      </c>
      <c r="H20" s="4">
        <v>1.0</v>
      </c>
      <c r="I20" s="5">
        <v>0.875</v>
      </c>
      <c r="J20" s="3">
        <v>0.7963853545334875</v>
      </c>
      <c r="K20" s="4">
        <v>0.75</v>
      </c>
      <c r="L20" s="4">
        <v>1.0</v>
      </c>
      <c r="M20" s="5">
        <v>0.875</v>
      </c>
      <c r="N20" s="3">
        <v>1.0</v>
      </c>
      <c r="O20" s="4">
        <v>0.75</v>
      </c>
      <c r="P20" s="4">
        <v>0.75</v>
      </c>
      <c r="Q20" s="5">
        <v>0.75</v>
      </c>
      <c r="R20" s="3">
        <v>0.8648988469556617</v>
      </c>
      <c r="S20" s="4">
        <v>0.75</v>
      </c>
      <c r="T20" s="4">
        <v>1.0</v>
      </c>
      <c r="U20" s="5">
        <v>0.875</v>
      </c>
      <c r="V20" s="3">
        <v>0.815887188911438</v>
      </c>
      <c r="W20" s="4">
        <v>0.75</v>
      </c>
      <c r="X20" s="4">
        <v>1.0</v>
      </c>
      <c r="Y20" s="5">
        <v>0.875</v>
      </c>
      <c r="Z20" s="3">
        <v>0.8070624470710754</v>
      </c>
      <c r="AA20" s="4">
        <v>0.75</v>
      </c>
      <c r="AB20" s="4">
        <v>0.75</v>
      </c>
      <c r="AC20" s="5">
        <v>0.75</v>
      </c>
      <c r="AD20" s="3">
        <v>1.0</v>
      </c>
      <c r="AE20" s="4">
        <v>1.0</v>
      </c>
      <c r="AF20" s="4">
        <v>1.0</v>
      </c>
      <c r="AG20" s="5">
        <v>1.0</v>
      </c>
      <c r="AH20" s="2">
        <v>31.0</v>
      </c>
      <c r="AI20" s="2">
        <v>31.0</v>
      </c>
      <c r="AJ20" s="2">
        <v>1.0</v>
      </c>
      <c r="AK20" s="2" t="s">
        <v>153</v>
      </c>
      <c r="AL20" s="2" t="s">
        <v>105</v>
      </c>
    </row>
    <row r="21" ht="15.75" customHeight="1">
      <c r="A21" s="2" t="s">
        <v>154</v>
      </c>
      <c r="B21" s="2" t="s">
        <v>136</v>
      </c>
      <c r="C21" s="2" t="s">
        <v>81</v>
      </c>
      <c r="D21" s="2" t="s">
        <v>155</v>
      </c>
      <c r="E21" s="2" t="s">
        <v>156</v>
      </c>
      <c r="F21" s="3">
        <v>0.6969078294932842</v>
      </c>
      <c r="G21" s="4">
        <v>0.75</v>
      </c>
      <c r="H21" s="4">
        <v>0.75</v>
      </c>
      <c r="I21" s="5">
        <v>0.75</v>
      </c>
      <c r="J21" s="3">
        <v>0.7591613557027734</v>
      </c>
      <c r="K21" s="4">
        <v>0.75</v>
      </c>
      <c r="L21" s="4">
        <v>0.75</v>
      </c>
      <c r="M21" s="5">
        <v>0.75</v>
      </c>
      <c r="N21" s="3">
        <v>0.7127726972103119</v>
      </c>
      <c r="O21" s="4">
        <v>0.75</v>
      </c>
      <c r="P21" s="4">
        <v>0.75</v>
      </c>
      <c r="Q21" s="5">
        <v>0.75</v>
      </c>
      <c r="R21" s="3">
        <v>0.7229472941354566</v>
      </c>
      <c r="S21" s="4">
        <v>0.75</v>
      </c>
      <c r="T21" s="4">
        <v>0.75</v>
      </c>
      <c r="U21" s="5">
        <v>0.75</v>
      </c>
      <c r="V21" s="3">
        <v>0.7646686678582971</v>
      </c>
      <c r="W21" s="4">
        <v>0.75</v>
      </c>
      <c r="X21" s="4">
        <v>0.75</v>
      </c>
      <c r="Y21" s="5">
        <v>0.75</v>
      </c>
      <c r="Z21" s="3">
        <v>0.7644303581293892</v>
      </c>
      <c r="AA21" s="4">
        <v>0.75</v>
      </c>
      <c r="AB21" s="4">
        <v>0.75</v>
      </c>
      <c r="AC21" s="5">
        <v>0.75</v>
      </c>
      <c r="AD21" s="3">
        <v>0.9333333333333333</v>
      </c>
      <c r="AE21" s="4">
        <v>0.75</v>
      </c>
      <c r="AF21" s="4">
        <v>1.0</v>
      </c>
      <c r="AG21" s="5">
        <v>0.875</v>
      </c>
      <c r="AH21" s="2">
        <v>15.0</v>
      </c>
      <c r="AI21" s="2">
        <v>14.0</v>
      </c>
      <c r="AJ21" s="2">
        <v>0.9333333333333333</v>
      </c>
      <c r="AK21" s="2" t="s">
        <v>157</v>
      </c>
      <c r="AL21" s="2" t="s">
        <v>91</v>
      </c>
    </row>
    <row r="22" ht="15.75" customHeight="1">
      <c r="A22" s="2" t="s">
        <v>158</v>
      </c>
      <c r="B22" s="2" t="s">
        <v>56</v>
      </c>
      <c r="C22" s="2" t="s">
        <v>57</v>
      </c>
      <c r="D22" s="2" t="s">
        <v>159</v>
      </c>
      <c r="E22" s="2" t="s">
        <v>160</v>
      </c>
      <c r="F22" s="3">
        <v>0.7429203232940362</v>
      </c>
      <c r="G22" s="4">
        <v>0.5</v>
      </c>
      <c r="H22" s="4">
        <v>0.5</v>
      </c>
      <c r="I22" s="5">
        <v>0.5</v>
      </c>
      <c r="J22" s="3">
        <v>0.7602473068417925</v>
      </c>
      <c r="K22" s="4">
        <v>0.5</v>
      </c>
      <c r="L22" s="4">
        <v>0.75</v>
      </c>
      <c r="M22" s="5">
        <v>0.625</v>
      </c>
      <c r="N22" s="3">
        <v>0.764722330229623</v>
      </c>
      <c r="O22" s="4">
        <v>0.5</v>
      </c>
      <c r="P22" s="4">
        <v>0.75</v>
      </c>
      <c r="Q22" s="5">
        <v>0.625</v>
      </c>
      <c r="R22" s="3">
        <v>0.7559633201218173</v>
      </c>
      <c r="S22" s="4">
        <v>0.5</v>
      </c>
      <c r="T22" s="4">
        <v>0.75</v>
      </c>
      <c r="U22" s="5">
        <v>0.625</v>
      </c>
      <c r="V22" s="3">
        <v>0.7222798517194845</v>
      </c>
      <c r="W22" s="4">
        <v>0.5</v>
      </c>
      <c r="X22" s="4">
        <v>0.5</v>
      </c>
      <c r="Y22" s="5">
        <v>0.5</v>
      </c>
      <c r="Z22" s="3">
        <v>0.7127789325184293</v>
      </c>
      <c r="AA22" s="4">
        <v>0.5</v>
      </c>
      <c r="AB22" s="4">
        <v>0.75</v>
      </c>
      <c r="AC22" s="5">
        <v>0.625</v>
      </c>
      <c r="AD22" s="3">
        <v>1.0</v>
      </c>
      <c r="AE22" s="4">
        <v>1.0</v>
      </c>
      <c r="AF22" s="4">
        <v>1.0</v>
      </c>
      <c r="AG22" s="5">
        <v>1.0</v>
      </c>
      <c r="AH22" s="2">
        <v>12.0</v>
      </c>
      <c r="AI22" s="2">
        <v>12.0</v>
      </c>
      <c r="AJ22" s="2">
        <v>1.0</v>
      </c>
      <c r="AK22" s="2" t="s">
        <v>161</v>
      </c>
      <c r="AL22" s="2" t="s">
        <v>162</v>
      </c>
    </row>
    <row r="23" ht="15.75" customHeight="1">
      <c r="A23" s="2" t="s">
        <v>163</v>
      </c>
      <c r="B23" s="2" t="s">
        <v>56</v>
      </c>
      <c r="C23" s="2" t="s">
        <v>63</v>
      </c>
      <c r="D23" s="2" t="s">
        <v>164</v>
      </c>
      <c r="E23" s="2" t="s">
        <v>165</v>
      </c>
      <c r="F23" s="3">
        <v>0.7299425874067389</v>
      </c>
      <c r="G23" s="4">
        <v>0.5</v>
      </c>
      <c r="H23" s="4">
        <v>0.75</v>
      </c>
      <c r="I23" s="5">
        <v>0.625</v>
      </c>
      <c r="J23" s="3">
        <v>0.7742323915341071</v>
      </c>
      <c r="K23" s="4">
        <v>0.5</v>
      </c>
      <c r="L23" s="4">
        <v>0.75</v>
      </c>
      <c r="M23" s="5">
        <v>0.625</v>
      </c>
      <c r="N23" s="3">
        <v>0.7230891663095226</v>
      </c>
      <c r="O23" s="4">
        <v>0.5</v>
      </c>
      <c r="P23" s="4">
        <v>0.5</v>
      </c>
      <c r="Q23" s="5">
        <v>0.5</v>
      </c>
      <c r="R23" s="3">
        <v>0.7424213817501228</v>
      </c>
      <c r="S23" s="4">
        <v>0.5</v>
      </c>
      <c r="T23" s="4">
        <v>0.75</v>
      </c>
      <c r="U23" s="5">
        <v>0.625</v>
      </c>
      <c r="V23" s="3">
        <v>0.6988015415287819</v>
      </c>
      <c r="W23" s="4">
        <v>0.5</v>
      </c>
      <c r="X23" s="4">
        <v>0.5</v>
      </c>
      <c r="Y23" s="5">
        <v>0.5</v>
      </c>
      <c r="Z23" s="3">
        <v>0.7014084919577553</v>
      </c>
      <c r="AA23" s="4">
        <v>0.5</v>
      </c>
      <c r="AB23" s="4">
        <v>0.5</v>
      </c>
      <c r="AC23" s="5">
        <v>0.5</v>
      </c>
      <c r="AD23" s="3">
        <v>1.0</v>
      </c>
      <c r="AE23" s="4">
        <v>1.0</v>
      </c>
      <c r="AF23" s="4">
        <v>1.0</v>
      </c>
      <c r="AG23" s="5">
        <v>1.0</v>
      </c>
      <c r="AH23" s="2">
        <v>14.0</v>
      </c>
      <c r="AI23" s="2">
        <v>14.0</v>
      </c>
      <c r="AJ23" s="2">
        <v>1.0</v>
      </c>
      <c r="AK23" s="2" t="s">
        <v>166</v>
      </c>
      <c r="AL23" s="2" t="s">
        <v>167</v>
      </c>
    </row>
    <row r="24" ht="15.75" customHeight="1">
      <c r="A24" s="2" t="s">
        <v>168</v>
      </c>
      <c r="B24" s="2" t="s">
        <v>56</v>
      </c>
      <c r="C24" s="2" t="s">
        <v>69</v>
      </c>
      <c r="D24" s="2" t="s">
        <v>169</v>
      </c>
      <c r="E24" s="2" t="s">
        <v>170</v>
      </c>
      <c r="F24" s="3">
        <v>0.7784097336587452</v>
      </c>
      <c r="G24" s="4">
        <v>0.75</v>
      </c>
      <c r="H24" s="4">
        <v>1.0</v>
      </c>
      <c r="I24" s="5">
        <v>0.875</v>
      </c>
      <c r="J24" s="3">
        <v>0.8116682966550192</v>
      </c>
      <c r="K24" s="4">
        <v>0.75</v>
      </c>
      <c r="L24" s="4">
        <v>1.0</v>
      </c>
      <c r="M24" s="5">
        <v>0.875</v>
      </c>
      <c r="N24" s="3">
        <v>0.7944453835487366</v>
      </c>
      <c r="O24" s="4">
        <v>0.75</v>
      </c>
      <c r="P24" s="4">
        <v>1.0</v>
      </c>
      <c r="Q24" s="5">
        <v>0.875</v>
      </c>
      <c r="R24" s="3">
        <v>0.7948411379541671</v>
      </c>
      <c r="S24" s="4">
        <v>0.75</v>
      </c>
      <c r="T24" s="4">
        <v>1.0</v>
      </c>
      <c r="U24" s="5">
        <v>0.875</v>
      </c>
      <c r="V24" s="3">
        <v>0.7853047308467683</v>
      </c>
      <c r="W24" s="4">
        <v>0.75</v>
      </c>
      <c r="X24" s="4">
        <v>1.0</v>
      </c>
      <c r="Y24" s="5">
        <v>0.875</v>
      </c>
      <c r="Z24" s="3">
        <v>0.7787677553983835</v>
      </c>
      <c r="AA24" s="4">
        <v>0.75</v>
      </c>
      <c r="AB24" s="4">
        <v>1.0</v>
      </c>
      <c r="AC24" s="5">
        <v>0.875</v>
      </c>
      <c r="AD24" s="3">
        <v>1.0</v>
      </c>
      <c r="AE24" s="4">
        <v>1.0</v>
      </c>
      <c r="AF24" s="4">
        <v>1.0</v>
      </c>
      <c r="AG24" s="5">
        <v>1.0</v>
      </c>
      <c r="AH24" s="2">
        <v>20.0</v>
      </c>
      <c r="AI24" s="2">
        <v>20.0</v>
      </c>
      <c r="AJ24" s="2">
        <v>1.0</v>
      </c>
      <c r="AK24" s="2" t="s">
        <v>171</v>
      </c>
      <c r="AL24" s="2" t="s">
        <v>172</v>
      </c>
    </row>
    <row r="25" ht="15.75" customHeight="1">
      <c r="A25" s="2" t="s">
        <v>173</v>
      </c>
      <c r="B25" s="2" t="s">
        <v>56</v>
      </c>
      <c r="C25" s="2" t="s">
        <v>75</v>
      </c>
      <c r="D25" s="2" t="s">
        <v>174</v>
      </c>
      <c r="E25" s="2" t="s">
        <v>175</v>
      </c>
      <c r="F25" s="3">
        <v>0.7080739395959037</v>
      </c>
      <c r="G25" s="4">
        <v>0.75</v>
      </c>
      <c r="H25" s="4">
        <v>0.75</v>
      </c>
      <c r="I25" s="5">
        <v>0.75</v>
      </c>
      <c r="J25" s="3">
        <v>0.7204549397741046</v>
      </c>
      <c r="K25" s="4">
        <v>0.75</v>
      </c>
      <c r="L25" s="4">
        <v>0.75</v>
      </c>
      <c r="M25" s="5">
        <v>0.75</v>
      </c>
      <c r="N25" s="3">
        <v>0.689629077911377</v>
      </c>
      <c r="O25" s="4">
        <v>0.5</v>
      </c>
      <c r="P25" s="4">
        <v>0.75</v>
      </c>
      <c r="Q25" s="5">
        <v>0.625</v>
      </c>
      <c r="R25" s="3">
        <v>0.7060526524271284</v>
      </c>
      <c r="S25" s="4">
        <v>0.75</v>
      </c>
      <c r="T25" s="4">
        <v>0.75</v>
      </c>
      <c r="U25" s="5">
        <v>0.75</v>
      </c>
      <c r="V25" s="3">
        <v>0.7296585619449616</v>
      </c>
      <c r="W25" s="4">
        <v>0.75</v>
      </c>
      <c r="X25" s="4">
        <v>0.75</v>
      </c>
      <c r="Y25" s="5">
        <v>0.75</v>
      </c>
      <c r="Z25" s="3">
        <v>0.7270228743553162</v>
      </c>
      <c r="AA25" s="4">
        <v>0.5</v>
      </c>
      <c r="AB25" s="4">
        <v>0.75</v>
      </c>
      <c r="AC25" s="5">
        <v>0.625</v>
      </c>
      <c r="AD25" s="3">
        <v>1.0</v>
      </c>
      <c r="AE25" s="4">
        <v>1.0</v>
      </c>
      <c r="AF25" s="4">
        <v>1.0</v>
      </c>
      <c r="AG25" s="5">
        <v>1.0</v>
      </c>
      <c r="AH25" s="2">
        <v>9.0</v>
      </c>
      <c r="AI25" s="2">
        <v>9.0</v>
      </c>
      <c r="AJ25" s="2">
        <v>1.0</v>
      </c>
      <c r="AK25" s="2" t="s">
        <v>176</v>
      </c>
      <c r="AL25" s="2" t="s">
        <v>177</v>
      </c>
    </row>
    <row r="26" ht="15.75" customHeight="1">
      <c r="A26" s="2" t="s">
        <v>178</v>
      </c>
      <c r="B26" s="2" t="s">
        <v>56</v>
      </c>
      <c r="C26" s="2" t="s">
        <v>81</v>
      </c>
      <c r="D26" s="2" t="s">
        <v>179</v>
      </c>
      <c r="E26" s="2" t="s">
        <v>180</v>
      </c>
      <c r="F26" s="3">
        <v>0.7685321748256684</v>
      </c>
      <c r="G26" s="4">
        <v>0.75</v>
      </c>
      <c r="H26" s="4">
        <v>1.0</v>
      </c>
      <c r="I26" s="5">
        <v>0.875</v>
      </c>
      <c r="J26" s="3">
        <v>0.8150999167608837</v>
      </c>
      <c r="K26" s="4">
        <v>0.75</v>
      </c>
      <c r="L26" s="4">
        <v>0.75</v>
      </c>
      <c r="M26" s="5">
        <v>0.75</v>
      </c>
      <c r="N26" s="3">
        <v>0.8173822402954102</v>
      </c>
      <c r="O26" s="4">
        <v>0.75</v>
      </c>
      <c r="P26" s="4">
        <v>0.75</v>
      </c>
      <c r="Q26" s="5">
        <v>0.75</v>
      </c>
      <c r="R26" s="3">
        <v>0.8003381106273207</v>
      </c>
      <c r="S26" s="4">
        <v>0.75</v>
      </c>
      <c r="T26" s="4">
        <v>0.75</v>
      </c>
      <c r="U26" s="5">
        <v>0.75</v>
      </c>
      <c r="V26" s="3">
        <v>0.7431990927265536</v>
      </c>
      <c r="W26" s="4">
        <v>0.75</v>
      </c>
      <c r="X26" s="4">
        <v>0.75</v>
      </c>
      <c r="Y26" s="5">
        <v>0.75</v>
      </c>
      <c r="Z26" s="3">
        <v>0.741471650423827</v>
      </c>
      <c r="AA26" s="4">
        <v>0.75</v>
      </c>
      <c r="AB26" s="4">
        <v>0.75</v>
      </c>
      <c r="AC26" s="5">
        <v>0.75</v>
      </c>
      <c r="AD26" s="3">
        <v>1.0</v>
      </c>
      <c r="AE26" s="4">
        <v>1.0</v>
      </c>
      <c r="AF26" s="4">
        <v>1.0</v>
      </c>
      <c r="AG26" s="5">
        <v>1.0</v>
      </c>
      <c r="AH26" s="2">
        <v>13.0</v>
      </c>
      <c r="AI26" s="2">
        <v>13.0</v>
      </c>
      <c r="AJ26" s="2">
        <v>1.0</v>
      </c>
      <c r="AK26" s="2" t="s">
        <v>181</v>
      </c>
      <c r="AL26" s="2" t="s">
        <v>182</v>
      </c>
    </row>
    <row r="27" ht="15.75" customHeight="1">
      <c r="A27" s="2" t="s">
        <v>183</v>
      </c>
      <c r="B27" s="2" t="s">
        <v>87</v>
      </c>
      <c r="C27" s="2" t="s">
        <v>57</v>
      </c>
      <c r="D27" s="2" t="s">
        <v>184</v>
      </c>
      <c r="E27" s="2" t="s">
        <v>185</v>
      </c>
      <c r="F27" s="3">
        <v>0.7412519536235116</v>
      </c>
      <c r="G27" s="4">
        <v>0.75</v>
      </c>
      <c r="H27" s="4">
        <v>1.0</v>
      </c>
      <c r="I27" s="5">
        <v>0.875</v>
      </c>
      <c r="J27" s="3">
        <v>0.8074399220446745</v>
      </c>
      <c r="K27" s="4">
        <v>0.75</v>
      </c>
      <c r="L27" s="4">
        <v>1.0</v>
      </c>
      <c r="M27" s="5">
        <v>0.875</v>
      </c>
      <c r="N27" s="3">
        <v>0.7754488408565521</v>
      </c>
      <c r="O27" s="4">
        <v>0.75</v>
      </c>
      <c r="P27" s="4">
        <v>0.75</v>
      </c>
      <c r="Q27" s="5">
        <v>0.75</v>
      </c>
      <c r="R27" s="3">
        <v>0.7747135721749127</v>
      </c>
      <c r="S27" s="4">
        <v>0.75</v>
      </c>
      <c r="T27" s="4">
        <v>1.0</v>
      </c>
      <c r="U27" s="5">
        <v>0.875</v>
      </c>
      <c r="V27" s="3">
        <v>0.6712575862484593</v>
      </c>
      <c r="W27" s="4">
        <v>0.75</v>
      </c>
      <c r="X27" s="4">
        <v>0.75</v>
      </c>
      <c r="Y27" s="5">
        <v>0.75</v>
      </c>
      <c r="Z27" s="3">
        <v>0.6717895944913228</v>
      </c>
      <c r="AA27" s="4">
        <v>0.75</v>
      </c>
      <c r="AB27" s="4">
        <v>0.75</v>
      </c>
      <c r="AC27" s="5">
        <v>0.75</v>
      </c>
      <c r="AD27" s="3">
        <v>1.0</v>
      </c>
      <c r="AE27" s="4">
        <v>1.0</v>
      </c>
      <c r="AF27" s="4">
        <v>1.0</v>
      </c>
      <c r="AG27" s="5">
        <v>1.0</v>
      </c>
      <c r="AH27" s="2">
        <v>17.0</v>
      </c>
      <c r="AI27" s="2">
        <v>17.0</v>
      </c>
      <c r="AJ27" s="2">
        <v>1.0</v>
      </c>
      <c r="AK27" s="2" t="s">
        <v>186</v>
      </c>
      <c r="AL27" s="2" t="s">
        <v>187</v>
      </c>
    </row>
    <row r="28" ht="15.75" customHeight="1">
      <c r="A28" s="2" t="s">
        <v>188</v>
      </c>
      <c r="B28" s="2" t="s">
        <v>87</v>
      </c>
      <c r="C28" s="2" t="s">
        <v>63</v>
      </c>
      <c r="D28" s="2" t="s">
        <v>189</v>
      </c>
      <c r="E28" s="2" t="s">
        <v>190</v>
      </c>
      <c r="F28" s="3">
        <v>0.7257613102595012</v>
      </c>
      <c r="G28" s="4">
        <v>0.75</v>
      </c>
      <c r="H28" s="4">
        <v>1.0</v>
      </c>
      <c r="I28" s="5">
        <v>0.875</v>
      </c>
      <c r="J28" s="3">
        <v>0.7735832568370935</v>
      </c>
      <c r="K28" s="4">
        <v>0.75</v>
      </c>
      <c r="L28" s="4">
        <v>0.75</v>
      </c>
      <c r="M28" s="5">
        <v>0.75</v>
      </c>
      <c r="N28" s="3">
        <v>1.0</v>
      </c>
      <c r="O28" s="4">
        <v>0.75</v>
      </c>
      <c r="P28" s="4">
        <v>0.75</v>
      </c>
      <c r="Q28" s="5">
        <v>0.75</v>
      </c>
      <c r="R28" s="3">
        <v>0.8331148556988649</v>
      </c>
      <c r="S28" s="4">
        <v>0.75</v>
      </c>
      <c r="T28" s="4">
        <v>0.75</v>
      </c>
      <c r="U28" s="5">
        <v>0.75</v>
      </c>
      <c r="V28" s="3">
        <v>0.659026034673055</v>
      </c>
      <c r="W28" s="4">
        <v>0.75</v>
      </c>
      <c r="X28" s="4">
        <v>0.75</v>
      </c>
      <c r="Y28" s="5">
        <v>0.75</v>
      </c>
      <c r="Z28" s="3">
        <v>0.6332197487354279</v>
      </c>
      <c r="AA28" s="4">
        <v>0.75</v>
      </c>
      <c r="AB28" s="4">
        <v>0.75</v>
      </c>
      <c r="AC28" s="5">
        <v>0.75</v>
      </c>
      <c r="AD28" s="3">
        <v>0.9166666666666666</v>
      </c>
      <c r="AE28" s="4">
        <v>0.75</v>
      </c>
      <c r="AF28" s="4">
        <v>1.0</v>
      </c>
      <c r="AG28" s="5">
        <v>0.875</v>
      </c>
      <c r="AH28" s="2">
        <v>12.0</v>
      </c>
      <c r="AI28" s="2">
        <v>11.0</v>
      </c>
      <c r="AJ28" s="2">
        <v>0.9166666666666666</v>
      </c>
      <c r="AK28" s="2" t="s">
        <v>191</v>
      </c>
      <c r="AL28" s="2" t="s">
        <v>192</v>
      </c>
    </row>
    <row r="29" ht="15.75" customHeight="1">
      <c r="A29" s="2" t="s">
        <v>193</v>
      </c>
      <c r="B29" s="2" t="s">
        <v>87</v>
      </c>
      <c r="C29" s="2" t="s">
        <v>69</v>
      </c>
      <c r="D29" s="2" t="s">
        <v>194</v>
      </c>
      <c r="E29" s="2" t="s">
        <v>195</v>
      </c>
      <c r="F29" s="3">
        <v>0.7635631425040109</v>
      </c>
      <c r="G29" s="4">
        <v>0.75</v>
      </c>
      <c r="H29" s="4">
        <v>0.75</v>
      </c>
      <c r="I29" s="5">
        <v>0.75</v>
      </c>
      <c r="J29" s="3">
        <v>0.7845096185609892</v>
      </c>
      <c r="K29" s="4">
        <v>0.75</v>
      </c>
      <c r="L29" s="4">
        <v>0.75</v>
      </c>
      <c r="M29" s="5">
        <v>0.75</v>
      </c>
      <c r="N29" s="3">
        <v>0.7577898999055227</v>
      </c>
      <c r="O29" s="4">
        <v>0.75</v>
      </c>
      <c r="P29" s="4">
        <v>0.75</v>
      </c>
      <c r="Q29" s="5">
        <v>0.75</v>
      </c>
      <c r="R29" s="3">
        <v>0.7686208869901744</v>
      </c>
      <c r="S29" s="4">
        <v>0.75</v>
      </c>
      <c r="T29" s="4">
        <v>0.75</v>
      </c>
      <c r="U29" s="5">
        <v>0.75</v>
      </c>
      <c r="V29" s="3">
        <v>0.8592682369919711</v>
      </c>
      <c r="W29" s="4">
        <v>0.75</v>
      </c>
      <c r="X29" s="4">
        <v>0.75</v>
      </c>
      <c r="Y29" s="5">
        <v>0.75</v>
      </c>
      <c r="Z29" s="3">
        <v>0.8706102848052979</v>
      </c>
      <c r="AA29" s="4">
        <v>0.75</v>
      </c>
      <c r="AB29" s="4">
        <v>0.75</v>
      </c>
      <c r="AC29" s="5">
        <v>0.75</v>
      </c>
      <c r="AD29" s="3">
        <v>0.9375</v>
      </c>
      <c r="AE29" s="4">
        <v>0.75</v>
      </c>
      <c r="AF29" s="4">
        <v>1.0</v>
      </c>
      <c r="AG29" s="5">
        <v>0.875</v>
      </c>
      <c r="AH29" s="2">
        <v>16.0</v>
      </c>
      <c r="AI29" s="2">
        <v>15.0</v>
      </c>
      <c r="AJ29" s="2">
        <v>0.9375</v>
      </c>
      <c r="AK29" s="2" t="s">
        <v>196</v>
      </c>
      <c r="AL29" s="2" t="s">
        <v>91</v>
      </c>
    </row>
    <row r="30" ht="15.75" customHeight="1">
      <c r="A30" s="2" t="s">
        <v>197</v>
      </c>
      <c r="B30" s="2" t="s">
        <v>87</v>
      </c>
      <c r="C30" s="2" t="s">
        <v>75</v>
      </c>
      <c r="D30" s="2" t="s">
        <v>198</v>
      </c>
      <c r="E30" s="2" t="s">
        <v>199</v>
      </c>
      <c r="F30" s="3">
        <v>0.7402235637692844</v>
      </c>
      <c r="G30" s="4">
        <v>0.75</v>
      </c>
      <c r="H30" s="4">
        <v>1.0</v>
      </c>
      <c r="I30" s="5">
        <v>0.875</v>
      </c>
      <c r="J30" s="3">
        <v>0.7369995481711774</v>
      </c>
      <c r="K30" s="4">
        <v>0.75</v>
      </c>
      <c r="L30" s="4">
        <v>1.0</v>
      </c>
      <c r="M30" s="5">
        <v>0.875</v>
      </c>
      <c r="N30" s="3">
        <v>0.724697470664978</v>
      </c>
      <c r="O30" s="4">
        <v>0.75</v>
      </c>
      <c r="P30" s="4">
        <v>0.75</v>
      </c>
      <c r="Q30" s="5">
        <v>0.75</v>
      </c>
      <c r="R30" s="3">
        <v>0.7339735275351466</v>
      </c>
      <c r="S30" s="4">
        <v>0.75</v>
      </c>
      <c r="T30" s="4">
        <v>1.0</v>
      </c>
      <c r="U30" s="5">
        <v>0.875</v>
      </c>
      <c r="V30" s="3">
        <v>0.7171623408794403</v>
      </c>
      <c r="W30" s="4">
        <v>0.75</v>
      </c>
      <c r="X30" s="4">
        <v>1.0</v>
      </c>
      <c r="Y30" s="5">
        <v>0.875</v>
      </c>
      <c r="Z30" s="3">
        <v>0.7280761152505875</v>
      </c>
      <c r="AA30" s="4">
        <v>0.75</v>
      </c>
      <c r="AB30" s="4">
        <v>0.75</v>
      </c>
      <c r="AC30" s="5">
        <v>0.75</v>
      </c>
      <c r="AD30" s="3">
        <v>1.0</v>
      </c>
      <c r="AE30" s="4">
        <v>1.0</v>
      </c>
      <c r="AF30" s="4">
        <v>1.0</v>
      </c>
      <c r="AG30" s="5">
        <v>1.0</v>
      </c>
      <c r="AH30" s="2">
        <v>9.0</v>
      </c>
      <c r="AI30" s="2">
        <v>9.0</v>
      </c>
      <c r="AJ30" s="2">
        <v>1.0</v>
      </c>
      <c r="AK30" s="2" t="s">
        <v>200</v>
      </c>
      <c r="AL30" s="2" t="s">
        <v>105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8.0"/>
    <col customWidth="1" min="4" max="5" width="38.0"/>
    <col customWidth="1" min="6" max="26" width="12.0"/>
    <col customWidth="1" min="27" max="28" width="34.0"/>
    <col customWidth="1" min="29" max="29" width="4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17</v>
      </c>
      <c r="H1" s="1" t="s">
        <v>8</v>
      </c>
      <c r="I1" s="1" t="s">
        <v>23</v>
      </c>
      <c r="J1" s="1" t="s">
        <v>25</v>
      </c>
      <c r="K1" s="1" t="s">
        <v>12</v>
      </c>
      <c r="L1" s="1" t="s">
        <v>31</v>
      </c>
      <c r="M1" s="1" t="s">
        <v>34</v>
      </c>
      <c r="N1" s="1" t="s">
        <v>18</v>
      </c>
      <c r="O1" s="1" t="s">
        <v>38</v>
      </c>
      <c r="P1" s="1" t="s">
        <v>40</v>
      </c>
      <c r="Q1" s="1" t="s">
        <v>22</v>
      </c>
      <c r="R1" s="1" t="s">
        <v>44</v>
      </c>
      <c r="S1" s="1" t="s">
        <v>46</v>
      </c>
      <c r="T1" s="1" t="s">
        <v>28</v>
      </c>
      <c r="U1" s="1" t="s">
        <v>49</v>
      </c>
      <c r="V1" s="1" t="s">
        <v>50</v>
      </c>
      <c r="W1" s="1" t="s">
        <v>33</v>
      </c>
      <c r="X1" s="1" t="s">
        <v>51</v>
      </c>
      <c r="Y1" s="1" t="s">
        <v>52</v>
      </c>
      <c r="Z1" s="1" t="s">
        <v>39</v>
      </c>
      <c r="AA1" s="1" t="s">
        <v>53</v>
      </c>
      <c r="AB1" s="1" t="s">
        <v>54</v>
      </c>
      <c r="AC1" s="1" t="s">
        <v>55</v>
      </c>
    </row>
    <row r="2">
      <c r="A2" s="2" t="s">
        <v>48</v>
      </c>
      <c r="B2" s="2" t="s">
        <v>56</v>
      </c>
      <c r="C2" s="2" t="s">
        <v>57</v>
      </c>
      <c r="D2" s="2" t="s">
        <v>58</v>
      </c>
      <c r="E2" s="2" t="s">
        <v>59</v>
      </c>
      <c r="F2" s="4"/>
      <c r="G2" s="4"/>
      <c r="H2" s="5" t="str">
        <f t="shared" ref="H2:H30" si="1">IF(COUNT(F2:G2)=0,"",AVERAGE(F2:G2))</f>
        <v/>
      </c>
      <c r="I2" s="4"/>
      <c r="J2" s="4"/>
      <c r="K2" s="5" t="str">
        <f t="shared" ref="K2:K30" si="2">IF(COUNT(I2:J2)=0,"",AVERAGE(I2:J2))</f>
        <v/>
      </c>
      <c r="L2" s="4"/>
      <c r="M2" s="4"/>
      <c r="N2" s="5" t="str">
        <f t="shared" ref="N2:N30" si="3">IF(COUNT(L2:M2)=0,"",AVERAGE(L2:M2))</f>
        <v/>
      </c>
      <c r="O2" s="4"/>
      <c r="P2" s="4"/>
      <c r="Q2" s="5" t="str">
        <f t="shared" ref="Q2:Q30" si="4">IF(COUNT(O2:P2)=0,"",AVERAGE(O2:P2))</f>
        <v/>
      </c>
      <c r="R2" s="4"/>
      <c r="S2" s="4"/>
      <c r="T2" s="5" t="str">
        <f t="shared" ref="T2:T30" si="5">IF(COUNT(R2:S2)=0,"",AVERAGE(R2:S2))</f>
        <v/>
      </c>
      <c r="U2" s="4"/>
      <c r="V2" s="4"/>
      <c r="W2" s="5" t="str">
        <f t="shared" ref="W2:W30" si="6">IF(COUNT(U2:V2)=0,"",AVERAGE(U2:V2))</f>
        <v/>
      </c>
      <c r="X2" s="4"/>
      <c r="Y2" s="4"/>
      <c r="Z2" s="5" t="str">
        <f t="shared" ref="Z2:Z30" si="7">IF(COUNT(X2:Y2)=0,"",AVERAGE(X2:Y2))</f>
        <v/>
      </c>
      <c r="AA2" s="6"/>
      <c r="AB2" s="6"/>
      <c r="AC2" s="2"/>
    </row>
    <row r="3">
      <c r="A3" s="2" t="s">
        <v>62</v>
      </c>
      <c r="B3" s="2" t="s">
        <v>56</v>
      </c>
      <c r="C3" s="2" t="s">
        <v>63</v>
      </c>
      <c r="D3" s="2" t="s">
        <v>64</v>
      </c>
      <c r="E3" s="2" t="s">
        <v>65</v>
      </c>
      <c r="F3" s="4"/>
      <c r="G3" s="4"/>
      <c r="H3" s="5" t="str">
        <f t="shared" si="1"/>
        <v/>
      </c>
      <c r="I3" s="4"/>
      <c r="J3" s="4"/>
      <c r="K3" s="5" t="str">
        <f t="shared" si="2"/>
        <v/>
      </c>
      <c r="L3" s="4"/>
      <c r="M3" s="4"/>
      <c r="N3" s="5" t="str">
        <f t="shared" si="3"/>
        <v/>
      </c>
      <c r="O3" s="4"/>
      <c r="P3" s="4"/>
      <c r="Q3" s="5" t="str">
        <f t="shared" si="4"/>
        <v/>
      </c>
      <c r="R3" s="4"/>
      <c r="S3" s="4"/>
      <c r="T3" s="5" t="str">
        <f t="shared" si="5"/>
        <v/>
      </c>
      <c r="U3" s="4"/>
      <c r="V3" s="4"/>
      <c r="W3" s="5" t="str">
        <f t="shared" si="6"/>
        <v/>
      </c>
      <c r="X3" s="4"/>
      <c r="Y3" s="4"/>
      <c r="Z3" s="5" t="str">
        <f t="shared" si="7"/>
        <v/>
      </c>
      <c r="AA3" s="6"/>
      <c r="AB3" s="6"/>
      <c r="AC3" s="2"/>
    </row>
    <row r="4">
      <c r="A4" s="2" t="s">
        <v>68</v>
      </c>
      <c r="B4" s="2" t="s">
        <v>56</v>
      </c>
      <c r="C4" s="2" t="s">
        <v>69</v>
      </c>
      <c r="D4" s="2" t="s">
        <v>70</v>
      </c>
      <c r="E4" s="2" t="s">
        <v>71</v>
      </c>
      <c r="F4" s="4"/>
      <c r="G4" s="4"/>
      <c r="H4" s="5" t="str">
        <f t="shared" si="1"/>
        <v/>
      </c>
      <c r="I4" s="4"/>
      <c r="J4" s="4"/>
      <c r="K4" s="5" t="str">
        <f t="shared" si="2"/>
        <v/>
      </c>
      <c r="L4" s="4"/>
      <c r="M4" s="4"/>
      <c r="N4" s="5" t="str">
        <f t="shared" si="3"/>
        <v/>
      </c>
      <c r="O4" s="4"/>
      <c r="P4" s="4"/>
      <c r="Q4" s="5" t="str">
        <f t="shared" si="4"/>
        <v/>
      </c>
      <c r="R4" s="4"/>
      <c r="S4" s="4"/>
      <c r="T4" s="5" t="str">
        <f t="shared" si="5"/>
        <v/>
      </c>
      <c r="U4" s="4"/>
      <c r="V4" s="4"/>
      <c r="W4" s="5" t="str">
        <f t="shared" si="6"/>
        <v/>
      </c>
      <c r="X4" s="4"/>
      <c r="Y4" s="4"/>
      <c r="Z4" s="5" t="str">
        <f t="shared" si="7"/>
        <v/>
      </c>
      <c r="AA4" s="6"/>
      <c r="AB4" s="6"/>
      <c r="AC4" s="2"/>
    </row>
    <row r="5">
      <c r="A5" s="2" t="s">
        <v>74</v>
      </c>
      <c r="B5" s="2" t="s">
        <v>56</v>
      </c>
      <c r="C5" s="2" t="s">
        <v>75</v>
      </c>
      <c r="D5" s="2" t="s">
        <v>76</v>
      </c>
      <c r="E5" s="2" t="s">
        <v>77</v>
      </c>
      <c r="F5" s="4"/>
      <c r="G5" s="4"/>
      <c r="H5" s="5" t="str">
        <f t="shared" si="1"/>
        <v/>
      </c>
      <c r="I5" s="4"/>
      <c r="J5" s="4"/>
      <c r="K5" s="5" t="str">
        <f t="shared" si="2"/>
        <v/>
      </c>
      <c r="L5" s="4"/>
      <c r="M5" s="4"/>
      <c r="N5" s="5" t="str">
        <f t="shared" si="3"/>
        <v/>
      </c>
      <c r="O5" s="4"/>
      <c r="P5" s="4"/>
      <c r="Q5" s="5" t="str">
        <f t="shared" si="4"/>
        <v/>
      </c>
      <c r="R5" s="4"/>
      <c r="S5" s="4"/>
      <c r="T5" s="5" t="str">
        <f t="shared" si="5"/>
        <v/>
      </c>
      <c r="U5" s="4"/>
      <c r="V5" s="4"/>
      <c r="W5" s="5" t="str">
        <f t="shared" si="6"/>
        <v/>
      </c>
      <c r="X5" s="4"/>
      <c r="Y5" s="4"/>
      <c r="Z5" s="5" t="str">
        <f t="shared" si="7"/>
        <v/>
      </c>
      <c r="AA5" s="6"/>
      <c r="AB5" s="6"/>
      <c r="AC5" s="2"/>
    </row>
    <row r="6">
      <c r="A6" s="2" t="s">
        <v>80</v>
      </c>
      <c r="B6" s="2" t="s">
        <v>56</v>
      </c>
      <c r="C6" s="2" t="s">
        <v>81</v>
      </c>
      <c r="D6" s="2" t="s">
        <v>82</v>
      </c>
      <c r="E6" s="2" t="s">
        <v>83</v>
      </c>
      <c r="F6" s="4"/>
      <c r="G6" s="4"/>
      <c r="H6" s="5" t="str">
        <f t="shared" si="1"/>
        <v/>
      </c>
      <c r="I6" s="4"/>
      <c r="J6" s="4"/>
      <c r="K6" s="5" t="str">
        <f t="shared" si="2"/>
        <v/>
      </c>
      <c r="L6" s="4"/>
      <c r="M6" s="4"/>
      <c r="N6" s="5" t="str">
        <f t="shared" si="3"/>
        <v/>
      </c>
      <c r="O6" s="4"/>
      <c r="P6" s="4"/>
      <c r="Q6" s="5" t="str">
        <f t="shared" si="4"/>
        <v/>
      </c>
      <c r="R6" s="4"/>
      <c r="S6" s="4"/>
      <c r="T6" s="5" t="str">
        <f t="shared" si="5"/>
        <v/>
      </c>
      <c r="U6" s="4"/>
      <c r="V6" s="4"/>
      <c r="W6" s="5" t="str">
        <f t="shared" si="6"/>
        <v/>
      </c>
      <c r="X6" s="4"/>
      <c r="Y6" s="4"/>
      <c r="Z6" s="5" t="str">
        <f t="shared" si="7"/>
        <v/>
      </c>
      <c r="AA6" s="6"/>
      <c r="AB6" s="6"/>
      <c r="AC6" s="2"/>
    </row>
    <row r="7">
      <c r="A7" s="2" t="s">
        <v>86</v>
      </c>
      <c r="B7" s="2" t="s">
        <v>87</v>
      </c>
      <c r="C7" s="2" t="s">
        <v>57</v>
      </c>
      <c r="D7" s="2" t="s">
        <v>88</v>
      </c>
      <c r="E7" s="2" t="s">
        <v>89</v>
      </c>
      <c r="F7" s="4"/>
      <c r="G7" s="4"/>
      <c r="H7" s="5" t="str">
        <f t="shared" si="1"/>
        <v/>
      </c>
      <c r="I7" s="4"/>
      <c r="J7" s="4"/>
      <c r="K7" s="5" t="str">
        <f t="shared" si="2"/>
        <v/>
      </c>
      <c r="L7" s="4"/>
      <c r="M7" s="4"/>
      <c r="N7" s="5" t="str">
        <f t="shared" si="3"/>
        <v/>
      </c>
      <c r="O7" s="4"/>
      <c r="P7" s="4"/>
      <c r="Q7" s="5" t="str">
        <f t="shared" si="4"/>
        <v/>
      </c>
      <c r="R7" s="4"/>
      <c r="S7" s="4"/>
      <c r="T7" s="5" t="str">
        <f t="shared" si="5"/>
        <v/>
      </c>
      <c r="U7" s="4"/>
      <c r="V7" s="4"/>
      <c r="W7" s="5" t="str">
        <f t="shared" si="6"/>
        <v/>
      </c>
      <c r="X7" s="4"/>
      <c r="Y7" s="4"/>
      <c r="Z7" s="5" t="str">
        <f t="shared" si="7"/>
        <v/>
      </c>
      <c r="AA7" s="6"/>
      <c r="AB7" s="6"/>
      <c r="AC7" s="2"/>
    </row>
    <row r="8">
      <c r="A8" s="2" t="s">
        <v>92</v>
      </c>
      <c r="B8" s="2" t="s">
        <v>87</v>
      </c>
      <c r="C8" s="2" t="s">
        <v>63</v>
      </c>
      <c r="D8" s="2" t="s">
        <v>93</v>
      </c>
      <c r="E8" s="2" t="s">
        <v>94</v>
      </c>
      <c r="F8" s="4"/>
      <c r="G8" s="4"/>
      <c r="H8" s="5" t="str">
        <f t="shared" si="1"/>
        <v/>
      </c>
      <c r="I8" s="7"/>
      <c r="J8" s="4"/>
      <c r="K8" s="5" t="str">
        <f t="shared" si="2"/>
        <v/>
      </c>
      <c r="L8" s="4"/>
      <c r="M8" s="4"/>
      <c r="N8" s="5" t="str">
        <f t="shared" si="3"/>
        <v/>
      </c>
      <c r="O8" s="4"/>
      <c r="P8" s="4"/>
      <c r="Q8" s="5" t="str">
        <f t="shared" si="4"/>
        <v/>
      </c>
      <c r="R8" s="4"/>
      <c r="S8" s="4"/>
      <c r="T8" s="5" t="str">
        <f t="shared" si="5"/>
        <v/>
      </c>
      <c r="U8" s="4"/>
      <c r="V8" s="4"/>
      <c r="W8" s="5" t="str">
        <f t="shared" si="6"/>
        <v/>
      </c>
      <c r="X8" s="4"/>
      <c r="Y8" s="4"/>
      <c r="Z8" s="5" t="str">
        <f t="shared" si="7"/>
        <v/>
      </c>
      <c r="AA8" s="6"/>
      <c r="AB8" s="6"/>
      <c r="AC8" s="2"/>
    </row>
    <row r="9">
      <c r="A9" s="2" t="s">
        <v>97</v>
      </c>
      <c r="B9" s="2" t="s">
        <v>87</v>
      </c>
      <c r="C9" s="2" t="s">
        <v>69</v>
      </c>
      <c r="D9" s="2" t="s">
        <v>98</v>
      </c>
      <c r="E9" s="2" t="s">
        <v>99</v>
      </c>
      <c r="F9" s="4"/>
      <c r="G9" s="4"/>
      <c r="H9" s="5" t="str">
        <f t="shared" si="1"/>
        <v/>
      </c>
      <c r="I9" s="4"/>
      <c r="J9" s="4"/>
      <c r="K9" s="5" t="str">
        <f t="shared" si="2"/>
        <v/>
      </c>
      <c r="L9" s="4"/>
      <c r="M9" s="4"/>
      <c r="N9" s="5" t="str">
        <f t="shared" si="3"/>
        <v/>
      </c>
      <c r="O9" s="4"/>
      <c r="P9" s="4"/>
      <c r="Q9" s="5" t="str">
        <f t="shared" si="4"/>
        <v/>
      </c>
      <c r="R9" s="4"/>
      <c r="S9" s="4"/>
      <c r="T9" s="5" t="str">
        <f t="shared" si="5"/>
        <v/>
      </c>
      <c r="U9" s="4"/>
      <c r="V9" s="4"/>
      <c r="W9" s="5" t="str">
        <f t="shared" si="6"/>
        <v/>
      </c>
      <c r="X9" s="4"/>
      <c r="Y9" s="4"/>
      <c r="Z9" s="5" t="str">
        <f t="shared" si="7"/>
        <v/>
      </c>
      <c r="AA9" s="6"/>
      <c r="AB9" s="6"/>
      <c r="AC9" s="2"/>
    </row>
    <row r="10">
      <c r="A10" s="2" t="s">
        <v>101</v>
      </c>
      <c r="B10" s="2" t="s">
        <v>87</v>
      </c>
      <c r="C10" s="2" t="s">
        <v>75</v>
      </c>
      <c r="D10" s="2" t="s">
        <v>102</v>
      </c>
      <c r="E10" s="2" t="s">
        <v>103</v>
      </c>
      <c r="F10" s="4"/>
      <c r="G10" s="4"/>
      <c r="H10" s="5" t="str">
        <f t="shared" si="1"/>
        <v/>
      </c>
      <c r="I10" s="4"/>
      <c r="J10" s="4"/>
      <c r="K10" s="5" t="str">
        <f t="shared" si="2"/>
        <v/>
      </c>
      <c r="L10" s="4"/>
      <c r="M10" s="4"/>
      <c r="N10" s="5" t="str">
        <f t="shared" si="3"/>
        <v/>
      </c>
      <c r="O10" s="4"/>
      <c r="P10" s="4"/>
      <c r="Q10" s="5" t="str">
        <f t="shared" si="4"/>
        <v/>
      </c>
      <c r="R10" s="4"/>
      <c r="S10" s="4"/>
      <c r="T10" s="5" t="str">
        <f t="shared" si="5"/>
        <v/>
      </c>
      <c r="U10" s="4"/>
      <c r="V10" s="4"/>
      <c r="W10" s="5" t="str">
        <f t="shared" si="6"/>
        <v/>
      </c>
      <c r="X10" s="4"/>
      <c r="Y10" s="4"/>
      <c r="Z10" s="5" t="str">
        <f t="shared" si="7"/>
        <v/>
      </c>
      <c r="AA10" s="6"/>
      <c r="AB10" s="6"/>
      <c r="AC10" s="2"/>
    </row>
    <row r="11">
      <c r="A11" s="2" t="s">
        <v>106</v>
      </c>
      <c r="B11" s="2" t="s">
        <v>87</v>
      </c>
      <c r="C11" s="2" t="s">
        <v>81</v>
      </c>
      <c r="D11" s="2" t="s">
        <v>107</v>
      </c>
      <c r="E11" s="2" t="s">
        <v>108</v>
      </c>
      <c r="F11" s="4"/>
      <c r="G11" s="4"/>
      <c r="H11" s="5" t="str">
        <f t="shared" si="1"/>
        <v/>
      </c>
      <c r="I11" s="4"/>
      <c r="J11" s="4"/>
      <c r="K11" s="5" t="str">
        <f t="shared" si="2"/>
        <v/>
      </c>
      <c r="L11" s="4"/>
      <c r="M11" s="4"/>
      <c r="N11" s="5" t="str">
        <f t="shared" si="3"/>
        <v/>
      </c>
      <c r="O11" s="4"/>
      <c r="P11" s="4"/>
      <c r="Q11" s="5" t="str">
        <f t="shared" si="4"/>
        <v/>
      </c>
      <c r="R11" s="4"/>
      <c r="S11" s="4"/>
      <c r="T11" s="5" t="str">
        <f t="shared" si="5"/>
        <v/>
      </c>
      <c r="U11" s="4"/>
      <c r="V11" s="4"/>
      <c r="W11" s="5" t="str">
        <f t="shared" si="6"/>
        <v/>
      </c>
      <c r="X11" s="4"/>
      <c r="Y11" s="4"/>
      <c r="Z11" s="5" t="str">
        <f t="shared" si="7"/>
        <v/>
      </c>
      <c r="AA11" s="6"/>
      <c r="AB11" s="6"/>
      <c r="AC11" s="2"/>
    </row>
    <row r="12">
      <c r="A12" s="2" t="s">
        <v>111</v>
      </c>
      <c r="B12" s="2" t="s">
        <v>112</v>
      </c>
      <c r="C12" s="2" t="s">
        <v>57</v>
      </c>
      <c r="D12" s="2" t="s">
        <v>113</v>
      </c>
      <c r="E12" s="2" t="s">
        <v>114</v>
      </c>
      <c r="F12" s="4"/>
      <c r="G12" s="4"/>
      <c r="H12" s="5" t="str">
        <f t="shared" si="1"/>
        <v/>
      </c>
      <c r="I12" s="4"/>
      <c r="J12" s="4"/>
      <c r="K12" s="5" t="str">
        <f t="shared" si="2"/>
        <v/>
      </c>
      <c r="L12" s="4"/>
      <c r="M12" s="4"/>
      <c r="N12" s="5" t="str">
        <f t="shared" si="3"/>
        <v/>
      </c>
      <c r="O12" s="4"/>
      <c r="P12" s="4"/>
      <c r="Q12" s="5" t="str">
        <f t="shared" si="4"/>
        <v/>
      </c>
      <c r="R12" s="4"/>
      <c r="S12" s="4"/>
      <c r="T12" s="5" t="str">
        <f t="shared" si="5"/>
        <v/>
      </c>
      <c r="U12" s="4"/>
      <c r="V12" s="4"/>
      <c r="W12" s="5" t="str">
        <f t="shared" si="6"/>
        <v/>
      </c>
      <c r="X12" s="4"/>
      <c r="Y12" s="4"/>
      <c r="Z12" s="5" t="str">
        <f t="shared" si="7"/>
        <v/>
      </c>
      <c r="AA12" s="6"/>
      <c r="AB12" s="6"/>
      <c r="AC12" s="2"/>
    </row>
    <row r="13">
      <c r="A13" s="2" t="s">
        <v>117</v>
      </c>
      <c r="B13" s="2" t="s">
        <v>112</v>
      </c>
      <c r="C13" s="2" t="s">
        <v>63</v>
      </c>
      <c r="D13" s="2" t="s">
        <v>118</v>
      </c>
      <c r="E13" s="2" t="s">
        <v>119</v>
      </c>
      <c r="F13" s="4"/>
      <c r="G13" s="4"/>
      <c r="H13" s="5" t="str">
        <f t="shared" si="1"/>
        <v/>
      </c>
      <c r="I13" s="4"/>
      <c r="J13" s="4"/>
      <c r="K13" s="5" t="str">
        <f t="shared" si="2"/>
        <v/>
      </c>
      <c r="L13" s="4"/>
      <c r="M13" s="4"/>
      <c r="N13" s="5" t="str">
        <f t="shared" si="3"/>
        <v/>
      </c>
      <c r="O13" s="4"/>
      <c r="P13" s="4"/>
      <c r="Q13" s="5" t="str">
        <f t="shared" si="4"/>
        <v/>
      </c>
      <c r="R13" s="4"/>
      <c r="S13" s="4"/>
      <c r="T13" s="5" t="str">
        <f t="shared" si="5"/>
        <v/>
      </c>
      <c r="U13" s="4"/>
      <c r="V13" s="4"/>
      <c r="W13" s="5" t="str">
        <f t="shared" si="6"/>
        <v/>
      </c>
      <c r="X13" s="4"/>
      <c r="Y13" s="4"/>
      <c r="Z13" s="5" t="str">
        <f t="shared" si="7"/>
        <v/>
      </c>
      <c r="AA13" s="6"/>
      <c r="AB13" s="6"/>
      <c r="AC13" s="2"/>
    </row>
    <row r="14">
      <c r="A14" s="2" t="s">
        <v>121</v>
      </c>
      <c r="B14" s="2" t="s">
        <v>112</v>
      </c>
      <c r="C14" s="2" t="s">
        <v>69</v>
      </c>
      <c r="D14" s="2" t="s">
        <v>122</v>
      </c>
      <c r="E14" s="2" t="s">
        <v>123</v>
      </c>
      <c r="F14" s="4"/>
      <c r="G14" s="4"/>
      <c r="H14" s="5" t="str">
        <f t="shared" si="1"/>
        <v/>
      </c>
      <c r="I14" s="4"/>
      <c r="J14" s="4"/>
      <c r="K14" s="5" t="str">
        <f t="shared" si="2"/>
        <v/>
      </c>
      <c r="L14" s="4"/>
      <c r="M14" s="4"/>
      <c r="N14" s="5" t="str">
        <f t="shared" si="3"/>
        <v/>
      </c>
      <c r="O14" s="4"/>
      <c r="P14" s="4"/>
      <c r="Q14" s="5" t="str">
        <f t="shared" si="4"/>
        <v/>
      </c>
      <c r="R14" s="4"/>
      <c r="S14" s="4"/>
      <c r="T14" s="5" t="str">
        <f t="shared" si="5"/>
        <v/>
      </c>
      <c r="U14" s="4"/>
      <c r="V14" s="4"/>
      <c r="W14" s="5" t="str">
        <f t="shared" si="6"/>
        <v/>
      </c>
      <c r="X14" s="4"/>
      <c r="Y14" s="4"/>
      <c r="Z14" s="5" t="str">
        <f t="shared" si="7"/>
        <v/>
      </c>
      <c r="AA14" s="6"/>
      <c r="AB14" s="6"/>
      <c r="AC14" s="2"/>
    </row>
    <row r="15">
      <c r="A15" s="2" t="s">
        <v>126</v>
      </c>
      <c r="B15" s="2" t="s">
        <v>112</v>
      </c>
      <c r="C15" s="2" t="s">
        <v>75</v>
      </c>
      <c r="D15" s="2" t="s">
        <v>127</v>
      </c>
      <c r="E15" s="2" t="s">
        <v>128</v>
      </c>
      <c r="F15" s="4"/>
      <c r="G15" s="4"/>
      <c r="H15" s="5" t="str">
        <f t="shared" si="1"/>
        <v/>
      </c>
      <c r="I15" s="4"/>
      <c r="J15" s="4"/>
      <c r="K15" s="5" t="str">
        <f t="shared" si="2"/>
        <v/>
      </c>
      <c r="L15" s="4"/>
      <c r="M15" s="4"/>
      <c r="N15" s="5" t="str">
        <f t="shared" si="3"/>
        <v/>
      </c>
      <c r="O15" s="4"/>
      <c r="P15" s="4"/>
      <c r="Q15" s="5" t="str">
        <f t="shared" si="4"/>
        <v/>
      </c>
      <c r="R15" s="4"/>
      <c r="S15" s="4"/>
      <c r="T15" s="5" t="str">
        <f t="shared" si="5"/>
        <v/>
      </c>
      <c r="U15" s="4"/>
      <c r="V15" s="4"/>
      <c r="W15" s="5" t="str">
        <f t="shared" si="6"/>
        <v/>
      </c>
      <c r="X15" s="4"/>
      <c r="Y15" s="4"/>
      <c r="Z15" s="5" t="str">
        <f t="shared" si="7"/>
        <v/>
      </c>
      <c r="AA15" s="6"/>
      <c r="AB15" s="6"/>
      <c r="AC15" s="2"/>
    </row>
    <row r="16">
      <c r="A16" s="2" t="s">
        <v>131</v>
      </c>
      <c r="B16" s="2" t="s">
        <v>112</v>
      </c>
      <c r="C16" s="2" t="s">
        <v>81</v>
      </c>
      <c r="D16" s="2" t="s">
        <v>132</v>
      </c>
      <c r="E16" s="2" t="s">
        <v>133</v>
      </c>
      <c r="F16" s="4"/>
      <c r="G16" s="4"/>
      <c r="H16" s="5" t="str">
        <f t="shared" si="1"/>
        <v/>
      </c>
      <c r="I16" s="4"/>
      <c r="J16" s="4"/>
      <c r="K16" s="5" t="str">
        <f t="shared" si="2"/>
        <v/>
      </c>
      <c r="L16" s="4"/>
      <c r="M16" s="4"/>
      <c r="N16" s="5" t="str">
        <f t="shared" si="3"/>
        <v/>
      </c>
      <c r="O16" s="4"/>
      <c r="P16" s="4"/>
      <c r="Q16" s="5" t="str">
        <f t="shared" si="4"/>
        <v/>
      </c>
      <c r="R16" s="4"/>
      <c r="S16" s="4"/>
      <c r="T16" s="5" t="str">
        <f t="shared" si="5"/>
        <v/>
      </c>
      <c r="U16" s="4"/>
      <c r="V16" s="4"/>
      <c r="W16" s="5" t="str">
        <f t="shared" si="6"/>
        <v/>
      </c>
      <c r="X16" s="4"/>
      <c r="Y16" s="4"/>
      <c r="Z16" s="5" t="str">
        <f t="shared" si="7"/>
        <v/>
      </c>
      <c r="AA16" s="6"/>
      <c r="AB16" s="6"/>
      <c r="AC16" s="2"/>
    </row>
    <row r="17">
      <c r="A17" s="2" t="s">
        <v>135</v>
      </c>
      <c r="B17" s="2" t="s">
        <v>136</v>
      </c>
      <c r="C17" s="2" t="s">
        <v>57</v>
      </c>
      <c r="D17" s="2" t="s">
        <v>137</v>
      </c>
      <c r="E17" s="2" t="s">
        <v>138</v>
      </c>
      <c r="F17" s="4"/>
      <c r="G17" s="4"/>
      <c r="H17" s="5" t="str">
        <f t="shared" si="1"/>
        <v/>
      </c>
      <c r="I17" s="4"/>
      <c r="J17" s="4"/>
      <c r="K17" s="5" t="str">
        <f t="shared" si="2"/>
        <v/>
      </c>
      <c r="L17" s="4"/>
      <c r="M17" s="4"/>
      <c r="N17" s="5" t="str">
        <f t="shared" si="3"/>
        <v/>
      </c>
      <c r="O17" s="4"/>
      <c r="P17" s="4"/>
      <c r="Q17" s="5" t="str">
        <f t="shared" si="4"/>
        <v/>
      </c>
      <c r="R17" s="4"/>
      <c r="S17" s="4"/>
      <c r="T17" s="5" t="str">
        <f t="shared" si="5"/>
        <v/>
      </c>
      <c r="U17" s="4"/>
      <c r="V17" s="4"/>
      <c r="W17" s="5" t="str">
        <f t="shared" si="6"/>
        <v/>
      </c>
      <c r="X17" s="4"/>
      <c r="Y17" s="4"/>
      <c r="Z17" s="5" t="str">
        <f t="shared" si="7"/>
        <v/>
      </c>
      <c r="AA17" s="6"/>
      <c r="AB17" s="6"/>
      <c r="AC17" s="2"/>
    </row>
    <row r="18">
      <c r="A18" s="2" t="s">
        <v>140</v>
      </c>
      <c r="B18" s="2" t="s">
        <v>136</v>
      </c>
      <c r="C18" s="2" t="s">
        <v>63</v>
      </c>
      <c r="D18" s="2" t="s">
        <v>141</v>
      </c>
      <c r="E18" s="2" t="s">
        <v>142</v>
      </c>
      <c r="F18" s="4"/>
      <c r="G18" s="4"/>
      <c r="H18" s="5" t="str">
        <f t="shared" si="1"/>
        <v/>
      </c>
      <c r="I18" s="4"/>
      <c r="J18" s="4"/>
      <c r="K18" s="5" t="str">
        <f t="shared" si="2"/>
        <v/>
      </c>
      <c r="L18" s="4"/>
      <c r="M18" s="4"/>
      <c r="N18" s="5" t="str">
        <f t="shared" si="3"/>
        <v/>
      </c>
      <c r="O18" s="4"/>
      <c r="P18" s="4"/>
      <c r="Q18" s="5" t="str">
        <f t="shared" si="4"/>
        <v/>
      </c>
      <c r="R18" s="4"/>
      <c r="S18" s="4"/>
      <c r="T18" s="5" t="str">
        <f t="shared" si="5"/>
        <v/>
      </c>
      <c r="U18" s="4"/>
      <c r="V18" s="4"/>
      <c r="W18" s="5" t="str">
        <f t="shared" si="6"/>
        <v/>
      </c>
      <c r="X18" s="4"/>
      <c r="Y18" s="4"/>
      <c r="Z18" s="5" t="str">
        <f t="shared" si="7"/>
        <v/>
      </c>
      <c r="AA18" s="6"/>
      <c r="AB18" s="6"/>
      <c r="AC18" s="2"/>
    </row>
    <row r="19">
      <c r="A19" s="2" t="s">
        <v>145</v>
      </c>
      <c r="B19" s="2" t="s">
        <v>136</v>
      </c>
      <c r="C19" s="2" t="s">
        <v>69</v>
      </c>
      <c r="D19" s="2" t="s">
        <v>146</v>
      </c>
      <c r="E19" s="2" t="s">
        <v>147</v>
      </c>
      <c r="F19" s="4"/>
      <c r="G19" s="4"/>
      <c r="H19" s="5" t="str">
        <f t="shared" si="1"/>
        <v/>
      </c>
      <c r="I19" s="4"/>
      <c r="J19" s="4"/>
      <c r="K19" s="5" t="str">
        <f t="shared" si="2"/>
        <v/>
      </c>
      <c r="L19" s="4"/>
      <c r="M19" s="4"/>
      <c r="N19" s="5" t="str">
        <f t="shared" si="3"/>
        <v/>
      </c>
      <c r="O19" s="4"/>
      <c r="P19" s="4"/>
      <c r="Q19" s="5" t="str">
        <f t="shared" si="4"/>
        <v/>
      </c>
      <c r="R19" s="4"/>
      <c r="S19" s="4"/>
      <c r="T19" s="5" t="str">
        <f t="shared" si="5"/>
        <v/>
      </c>
      <c r="U19" s="4"/>
      <c r="V19" s="4"/>
      <c r="W19" s="5" t="str">
        <f t="shared" si="6"/>
        <v/>
      </c>
      <c r="X19" s="4"/>
      <c r="Y19" s="4"/>
      <c r="Z19" s="5" t="str">
        <f t="shared" si="7"/>
        <v/>
      </c>
      <c r="AA19" s="6"/>
      <c r="AB19" s="6"/>
      <c r="AC19" s="2"/>
    </row>
    <row r="20">
      <c r="A20" s="2" t="s">
        <v>150</v>
      </c>
      <c r="B20" s="2" t="s">
        <v>136</v>
      </c>
      <c r="C20" s="2" t="s">
        <v>75</v>
      </c>
      <c r="D20" s="2" t="s">
        <v>151</v>
      </c>
      <c r="E20" s="2" t="s">
        <v>152</v>
      </c>
      <c r="F20" s="4"/>
      <c r="G20" s="4"/>
      <c r="H20" s="5" t="str">
        <f t="shared" si="1"/>
        <v/>
      </c>
      <c r="I20" s="4"/>
      <c r="J20" s="4"/>
      <c r="K20" s="5" t="str">
        <f t="shared" si="2"/>
        <v/>
      </c>
      <c r="L20" s="4"/>
      <c r="M20" s="4"/>
      <c r="N20" s="5" t="str">
        <f t="shared" si="3"/>
        <v/>
      </c>
      <c r="O20" s="4"/>
      <c r="P20" s="4"/>
      <c r="Q20" s="5" t="str">
        <f t="shared" si="4"/>
        <v/>
      </c>
      <c r="R20" s="4"/>
      <c r="S20" s="4"/>
      <c r="T20" s="5" t="str">
        <f t="shared" si="5"/>
        <v/>
      </c>
      <c r="U20" s="4"/>
      <c r="V20" s="4"/>
      <c r="W20" s="5" t="str">
        <f t="shared" si="6"/>
        <v/>
      </c>
      <c r="X20" s="4"/>
      <c r="Y20" s="4"/>
      <c r="Z20" s="5" t="str">
        <f t="shared" si="7"/>
        <v/>
      </c>
      <c r="AA20" s="6"/>
      <c r="AB20" s="6"/>
      <c r="AC20" s="2"/>
    </row>
    <row r="21" ht="15.75" customHeight="1">
      <c r="A21" s="2" t="s">
        <v>154</v>
      </c>
      <c r="B21" s="2" t="s">
        <v>136</v>
      </c>
      <c r="C21" s="2" t="s">
        <v>81</v>
      </c>
      <c r="D21" s="2" t="s">
        <v>155</v>
      </c>
      <c r="E21" s="2" t="s">
        <v>156</v>
      </c>
      <c r="F21" s="4"/>
      <c r="G21" s="4"/>
      <c r="H21" s="5" t="str">
        <f t="shared" si="1"/>
        <v/>
      </c>
      <c r="I21" s="4"/>
      <c r="J21" s="4"/>
      <c r="K21" s="5" t="str">
        <f t="shared" si="2"/>
        <v/>
      </c>
      <c r="L21" s="4"/>
      <c r="M21" s="4"/>
      <c r="N21" s="5" t="str">
        <f t="shared" si="3"/>
        <v/>
      </c>
      <c r="O21" s="4"/>
      <c r="P21" s="4"/>
      <c r="Q21" s="5" t="str">
        <f t="shared" si="4"/>
        <v/>
      </c>
      <c r="R21" s="4"/>
      <c r="S21" s="4"/>
      <c r="T21" s="5" t="str">
        <f t="shared" si="5"/>
        <v/>
      </c>
      <c r="U21" s="4"/>
      <c r="V21" s="4"/>
      <c r="W21" s="5" t="str">
        <f t="shared" si="6"/>
        <v/>
      </c>
      <c r="X21" s="4"/>
      <c r="Y21" s="4"/>
      <c r="Z21" s="5" t="str">
        <f t="shared" si="7"/>
        <v/>
      </c>
      <c r="AA21" s="6"/>
      <c r="AB21" s="6"/>
      <c r="AC21" s="2"/>
    </row>
    <row r="22" ht="15.75" customHeight="1">
      <c r="A22" s="2" t="s">
        <v>158</v>
      </c>
      <c r="B22" s="2" t="s">
        <v>56</v>
      </c>
      <c r="C22" s="2" t="s">
        <v>57</v>
      </c>
      <c r="D22" s="2" t="s">
        <v>159</v>
      </c>
      <c r="E22" s="2" t="s">
        <v>160</v>
      </c>
      <c r="F22" s="4"/>
      <c r="G22" s="4"/>
      <c r="H22" s="5" t="str">
        <f t="shared" si="1"/>
        <v/>
      </c>
      <c r="I22" s="4"/>
      <c r="J22" s="4"/>
      <c r="K22" s="5" t="str">
        <f t="shared" si="2"/>
        <v/>
      </c>
      <c r="L22" s="4"/>
      <c r="M22" s="4"/>
      <c r="N22" s="5" t="str">
        <f t="shared" si="3"/>
        <v/>
      </c>
      <c r="O22" s="4"/>
      <c r="P22" s="4"/>
      <c r="Q22" s="5" t="str">
        <f t="shared" si="4"/>
        <v/>
      </c>
      <c r="R22" s="4"/>
      <c r="S22" s="4"/>
      <c r="T22" s="5" t="str">
        <f t="shared" si="5"/>
        <v/>
      </c>
      <c r="U22" s="4"/>
      <c r="V22" s="4"/>
      <c r="W22" s="5" t="str">
        <f t="shared" si="6"/>
        <v/>
      </c>
      <c r="X22" s="4"/>
      <c r="Y22" s="4"/>
      <c r="Z22" s="5" t="str">
        <f t="shared" si="7"/>
        <v/>
      </c>
      <c r="AA22" s="6"/>
      <c r="AB22" s="6"/>
      <c r="AC22" s="2"/>
    </row>
    <row r="23" ht="15.75" customHeight="1">
      <c r="A23" s="2" t="s">
        <v>163</v>
      </c>
      <c r="B23" s="2" t="s">
        <v>56</v>
      </c>
      <c r="C23" s="2" t="s">
        <v>63</v>
      </c>
      <c r="D23" s="2" t="s">
        <v>164</v>
      </c>
      <c r="E23" s="2" t="s">
        <v>165</v>
      </c>
      <c r="F23" s="4"/>
      <c r="G23" s="4"/>
      <c r="H23" s="5" t="str">
        <f t="shared" si="1"/>
        <v/>
      </c>
      <c r="I23" s="4"/>
      <c r="J23" s="4"/>
      <c r="K23" s="5" t="str">
        <f t="shared" si="2"/>
        <v/>
      </c>
      <c r="L23" s="4"/>
      <c r="M23" s="4"/>
      <c r="N23" s="5" t="str">
        <f t="shared" si="3"/>
        <v/>
      </c>
      <c r="O23" s="4"/>
      <c r="P23" s="4"/>
      <c r="Q23" s="5" t="str">
        <f t="shared" si="4"/>
        <v/>
      </c>
      <c r="R23" s="4"/>
      <c r="S23" s="4"/>
      <c r="T23" s="5" t="str">
        <f t="shared" si="5"/>
        <v/>
      </c>
      <c r="U23" s="4"/>
      <c r="V23" s="4"/>
      <c r="W23" s="5" t="str">
        <f t="shared" si="6"/>
        <v/>
      </c>
      <c r="X23" s="4"/>
      <c r="Y23" s="4"/>
      <c r="Z23" s="5" t="str">
        <f t="shared" si="7"/>
        <v/>
      </c>
      <c r="AA23" s="6"/>
      <c r="AB23" s="6"/>
      <c r="AC23" s="2"/>
    </row>
    <row r="24" ht="15.75" customHeight="1">
      <c r="A24" s="2" t="s">
        <v>168</v>
      </c>
      <c r="B24" s="2" t="s">
        <v>56</v>
      </c>
      <c r="C24" s="2" t="s">
        <v>69</v>
      </c>
      <c r="D24" s="2" t="s">
        <v>169</v>
      </c>
      <c r="E24" s="2" t="s">
        <v>170</v>
      </c>
      <c r="F24" s="4"/>
      <c r="G24" s="4"/>
      <c r="H24" s="5" t="str">
        <f t="shared" si="1"/>
        <v/>
      </c>
      <c r="I24" s="4"/>
      <c r="J24" s="4"/>
      <c r="K24" s="5" t="str">
        <f t="shared" si="2"/>
        <v/>
      </c>
      <c r="L24" s="4"/>
      <c r="M24" s="4"/>
      <c r="N24" s="5" t="str">
        <f t="shared" si="3"/>
        <v/>
      </c>
      <c r="O24" s="4"/>
      <c r="P24" s="4"/>
      <c r="Q24" s="5" t="str">
        <f t="shared" si="4"/>
        <v/>
      </c>
      <c r="R24" s="4"/>
      <c r="S24" s="4"/>
      <c r="T24" s="5" t="str">
        <f t="shared" si="5"/>
        <v/>
      </c>
      <c r="U24" s="4"/>
      <c r="V24" s="4"/>
      <c r="W24" s="5" t="str">
        <f t="shared" si="6"/>
        <v/>
      </c>
      <c r="X24" s="4"/>
      <c r="Y24" s="4"/>
      <c r="Z24" s="5" t="str">
        <f t="shared" si="7"/>
        <v/>
      </c>
      <c r="AA24" s="6"/>
      <c r="AB24" s="6"/>
      <c r="AC24" s="2"/>
    </row>
    <row r="25" ht="15.75" customHeight="1">
      <c r="A25" s="2" t="s">
        <v>173</v>
      </c>
      <c r="B25" s="2" t="s">
        <v>56</v>
      </c>
      <c r="C25" s="2" t="s">
        <v>75</v>
      </c>
      <c r="D25" s="2" t="s">
        <v>174</v>
      </c>
      <c r="E25" s="2" t="s">
        <v>175</v>
      </c>
      <c r="F25" s="4"/>
      <c r="G25" s="4"/>
      <c r="H25" s="5" t="str">
        <f t="shared" si="1"/>
        <v/>
      </c>
      <c r="I25" s="4"/>
      <c r="J25" s="4"/>
      <c r="K25" s="5" t="str">
        <f t="shared" si="2"/>
        <v/>
      </c>
      <c r="L25" s="4"/>
      <c r="M25" s="4"/>
      <c r="N25" s="5" t="str">
        <f t="shared" si="3"/>
        <v/>
      </c>
      <c r="O25" s="4"/>
      <c r="P25" s="4"/>
      <c r="Q25" s="5" t="str">
        <f t="shared" si="4"/>
        <v/>
      </c>
      <c r="R25" s="4"/>
      <c r="S25" s="4"/>
      <c r="T25" s="5" t="str">
        <f t="shared" si="5"/>
        <v/>
      </c>
      <c r="U25" s="4"/>
      <c r="V25" s="4"/>
      <c r="W25" s="5" t="str">
        <f t="shared" si="6"/>
        <v/>
      </c>
      <c r="X25" s="4"/>
      <c r="Y25" s="4"/>
      <c r="Z25" s="5" t="str">
        <f t="shared" si="7"/>
        <v/>
      </c>
      <c r="AA25" s="6"/>
      <c r="AB25" s="6"/>
      <c r="AC25" s="2"/>
    </row>
    <row r="26" ht="15.75" customHeight="1">
      <c r="A26" s="2" t="s">
        <v>178</v>
      </c>
      <c r="B26" s="2" t="s">
        <v>56</v>
      </c>
      <c r="C26" s="2" t="s">
        <v>81</v>
      </c>
      <c r="D26" s="2" t="s">
        <v>179</v>
      </c>
      <c r="E26" s="2" t="s">
        <v>180</v>
      </c>
      <c r="F26" s="4"/>
      <c r="G26" s="4"/>
      <c r="H26" s="5" t="str">
        <f t="shared" si="1"/>
        <v/>
      </c>
      <c r="I26" s="4"/>
      <c r="J26" s="4"/>
      <c r="K26" s="5" t="str">
        <f t="shared" si="2"/>
        <v/>
      </c>
      <c r="L26" s="4"/>
      <c r="M26" s="4"/>
      <c r="N26" s="5" t="str">
        <f t="shared" si="3"/>
        <v/>
      </c>
      <c r="O26" s="4"/>
      <c r="P26" s="4"/>
      <c r="Q26" s="5" t="str">
        <f t="shared" si="4"/>
        <v/>
      </c>
      <c r="R26" s="4"/>
      <c r="S26" s="4"/>
      <c r="T26" s="5" t="str">
        <f t="shared" si="5"/>
        <v/>
      </c>
      <c r="U26" s="4"/>
      <c r="V26" s="4"/>
      <c r="W26" s="5" t="str">
        <f t="shared" si="6"/>
        <v/>
      </c>
      <c r="X26" s="4"/>
      <c r="Y26" s="4"/>
      <c r="Z26" s="5" t="str">
        <f t="shared" si="7"/>
        <v/>
      </c>
      <c r="AA26" s="6"/>
      <c r="AB26" s="6"/>
      <c r="AC26" s="2"/>
    </row>
    <row r="27" ht="15.75" customHeight="1">
      <c r="A27" s="2" t="s">
        <v>183</v>
      </c>
      <c r="B27" s="2" t="s">
        <v>87</v>
      </c>
      <c r="C27" s="2" t="s">
        <v>57</v>
      </c>
      <c r="D27" s="2" t="s">
        <v>184</v>
      </c>
      <c r="E27" s="2" t="s">
        <v>185</v>
      </c>
      <c r="F27" s="4"/>
      <c r="G27" s="4"/>
      <c r="H27" s="5" t="str">
        <f t="shared" si="1"/>
        <v/>
      </c>
      <c r="I27" s="4"/>
      <c r="J27" s="4"/>
      <c r="K27" s="5" t="str">
        <f t="shared" si="2"/>
        <v/>
      </c>
      <c r="L27" s="4"/>
      <c r="M27" s="4"/>
      <c r="N27" s="5" t="str">
        <f t="shared" si="3"/>
        <v/>
      </c>
      <c r="O27" s="4"/>
      <c r="P27" s="4"/>
      <c r="Q27" s="5" t="str">
        <f t="shared" si="4"/>
        <v/>
      </c>
      <c r="R27" s="4"/>
      <c r="S27" s="4"/>
      <c r="T27" s="5" t="str">
        <f t="shared" si="5"/>
        <v/>
      </c>
      <c r="U27" s="4"/>
      <c r="V27" s="4"/>
      <c r="W27" s="5" t="str">
        <f t="shared" si="6"/>
        <v/>
      </c>
      <c r="X27" s="4"/>
      <c r="Y27" s="4"/>
      <c r="Z27" s="5" t="str">
        <f t="shared" si="7"/>
        <v/>
      </c>
      <c r="AA27" s="6"/>
      <c r="AB27" s="6"/>
      <c r="AC27" s="2"/>
    </row>
    <row r="28" ht="15.75" customHeight="1">
      <c r="A28" s="2" t="s">
        <v>188</v>
      </c>
      <c r="B28" s="2" t="s">
        <v>87</v>
      </c>
      <c r="C28" s="2" t="s">
        <v>63</v>
      </c>
      <c r="D28" s="2" t="s">
        <v>189</v>
      </c>
      <c r="E28" s="2" t="s">
        <v>190</v>
      </c>
      <c r="F28" s="4"/>
      <c r="G28" s="4"/>
      <c r="H28" s="5" t="str">
        <f t="shared" si="1"/>
        <v/>
      </c>
      <c r="I28" s="4"/>
      <c r="J28" s="4"/>
      <c r="K28" s="5" t="str">
        <f t="shared" si="2"/>
        <v/>
      </c>
      <c r="L28" s="4"/>
      <c r="M28" s="4"/>
      <c r="N28" s="5" t="str">
        <f t="shared" si="3"/>
        <v/>
      </c>
      <c r="O28" s="4"/>
      <c r="P28" s="4"/>
      <c r="Q28" s="5" t="str">
        <f t="shared" si="4"/>
        <v/>
      </c>
      <c r="R28" s="4"/>
      <c r="S28" s="4"/>
      <c r="T28" s="5" t="str">
        <f t="shared" si="5"/>
        <v/>
      </c>
      <c r="U28" s="4"/>
      <c r="V28" s="4"/>
      <c r="W28" s="5" t="str">
        <f t="shared" si="6"/>
        <v/>
      </c>
      <c r="X28" s="4"/>
      <c r="Y28" s="4"/>
      <c r="Z28" s="5" t="str">
        <f t="shared" si="7"/>
        <v/>
      </c>
      <c r="AA28" s="6"/>
      <c r="AB28" s="6"/>
      <c r="AC28" s="2"/>
    </row>
    <row r="29" ht="15.75" customHeight="1">
      <c r="A29" s="2" t="s">
        <v>193</v>
      </c>
      <c r="B29" s="2" t="s">
        <v>87</v>
      </c>
      <c r="C29" s="2" t="s">
        <v>69</v>
      </c>
      <c r="D29" s="2" t="s">
        <v>194</v>
      </c>
      <c r="E29" s="2" t="s">
        <v>195</v>
      </c>
      <c r="F29" s="4"/>
      <c r="G29" s="4"/>
      <c r="H29" s="5" t="str">
        <f t="shared" si="1"/>
        <v/>
      </c>
      <c r="I29" s="4"/>
      <c r="J29" s="4"/>
      <c r="K29" s="5" t="str">
        <f t="shared" si="2"/>
        <v/>
      </c>
      <c r="L29" s="4"/>
      <c r="M29" s="4"/>
      <c r="N29" s="5" t="str">
        <f t="shared" si="3"/>
        <v/>
      </c>
      <c r="O29" s="4"/>
      <c r="P29" s="4"/>
      <c r="Q29" s="5" t="str">
        <f t="shared" si="4"/>
        <v/>
      </c>
      <c r="R29" s="4"/>
      <c r="S29" s="4"/>
      <c r="T29" s="5" t="str">
        <f t="shared" si="5"/>
        <v/>
      </c>
      <c r="U29" s="4"/>
      <c r="V29" s="4"/>
      <c r="W29" s="5" t="str">
        <f t="shared" si="6"/>
        <v/>
      </c>
      <c r="X29" s="4"/>
      <c r="Y29" s="4"/>
      <c r="Z29" s="5" t="str">
        <f t="shared" si="7"/>
        <v/>
      </c>
      <c r="AA29" s="6"/>
      <c r="AB29" s="6"/>
      <c r="AC29" s="2"/>
    </row>
    <row r="30" ht="15.75" customHeight="1">
      <c r="A30" s="2" t="s">
        <v>197</v>
      </c>
      <c r="B30" s="2" t="s">
        <v>87</v>
      </c>
      <c r="C30" s="2" t="s">
        <v>75</v>
      </c>
      <c r="D30" s="2" t="s">
        <v>198</v>
      </c>
      <c r="E30" s="2" t="s">
        <v>199</v>
      </c>
      <c r="F30" s="4"/>
      <c r="G30" s="4"/>
      <c r="H30" s="5" t="str">
        <f t="shared" si="1"/>
        <v/>
      </c>
      <c r="I30" s="4"/>
      <c r="J30" s="4"/>
      <c r="K30" s="5" t="str">
        <f t="shared" si="2"/>
        <v/>
      </c>
      <c r="L30" s="4"/>
      <c r="M30" s="4"/>
      <c r="N30" s="5" t="str">
        <f t="shared" si="3"/>
        <v/>
      </c>
      <c r="O30" s="4"/>
      <c r="P30" s="4"/>
      <c r="Q30" s="5" t="str">
        <f t="shared" si="4"/>
        <v/>
      </c>
      <c r="R30" s="4"/>
      <c r="S30" s="4"/>
      <c r="T30" s="5" t="str">
        <f t="shared" si="5"/>
        <v/>
      </c>
      <c r="U30" s="4"/>
      <c r="V30" s="4"/>
      <c r="W30" s="5" t="str">
        <f t="shared" si="6"/>
        <v/>
      </c>
      <c r="X30" s="4"/>
      <c r="Y30" s="4"/>
      <c r="Z30" s="5" t="str">
        <f t="shared" si="7"/>
        <v/>
      </c>
      <c r="AA30" s="6"/>
      <c r="AB30" s="6"/>
      <c r="AC30" s="2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F2:G30 I2:J30 L2:M30 O2:P30 R2:S30 U2:V30 X2:Y30">
      <formula1>"0,0.25,0.5,0.75,1"</formula1>
    </dataValidation>
  </dataValidations>
  <printOptions/>
  <pageMargins bottom="0.75" footer="0.0" header="0.0" left="0.7" right="0.7" top="0.75"/>
  <pageSetup orientation="landscape"/>
  <drawing r:id="rId1"/>
</worksheet>
</file>